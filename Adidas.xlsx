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tasfi\iCloudDrive\Desktop\CF\"/>
    </mc:Choice>
  </mc:AlternateContent>
  <xr:revisionPtr revIDLastSave="0" documentId="13_ncr:1_{05D016FA-F741-4290-BF3F-83999AB5B8A6}" xr6:coauthVersionLast="47" xr6:coauthVersionMax="47" xr10:uidLastSave="{00000000-0000-0000-0000-000000000000}"/>
  <bookViews>
    <workbookView xWindow="-120" yWindow="-120" windowWidth="38640" windowHeight="21120" xr2:uid="{E4AD64E9-47DE-45E6-82F7-C71DE111D906}"/>
  </bookViews>
  <sheets>
    <sheet name="ADDDF" sheetId="1" r:id="rId1"/>
    <sheet name="Income Statement" sheetId="4" r:id="rId2"/>
    <sheet name="Cash Flow Statement" sheetId="5" r:id="rId3"/>
    <sheet name="Competitors" sheetId="6" r:id="rId4"/>
    <sheet name="Ratios" sheetId="2" r:id="rId5"/>
    <sheet name="Credit Rating" sheetId="3" r:id="rId6"/>
    <sheet name="WACC Approach Nike" sheetId="9" r:id="rId7"/>
    <sheet name="WACC Approach Under Armour" sheetId="10" r:id="rId8"/>
    <sheet name="⛔️WACC Approach Puma" sheetId="11" r:id="rId9"/>
    <sheet name="WACC Approach Adidas" sheetId="7" r:id="rId10"/>
    <sheet name="Written part" sheetId="12" r:id="rId11"/>
    <sheet name="Dividend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7" l="1"/>
  <c r="L34" i="7"/>
  <c r="B3" i="10"/>
  <c r="B28" i="7"/>
  <c r="H35" i="8"/>
  <c r="H36" i="8"/>
  <c r="H37" i="8"/>
  <c r="H38" i="8"/>
  <c r="N62" i="8"/>
  <c r="B17" i="7"/>
  <c r="B7" i="7"/>
  <c r="D41" i="8"/>
  <c r="E41" i="8"/>
  <c r="F41" i="8"/>
  <c r="G41" i="8"/>
  <c r="C41" i="8"/>
  <c r="C42" i="8"/>
  <c r="D42" i="8"/>
  <c r="E42" i="8"/>
  <c r="F42" i="8"/>
  <c r="G42" i="8"/>
  <c r="B18" i="7"/>
  <c r="J28" i="7"/>
  <c r="J29" i="7"/>
  <c r="J30" i="7"/>
  <c r="J31" i="7"/>
  <c r="J33" i="7"/>
  <c r="J34" i="7"/>
  <c r="J35" i="7"/>
  <c r="J36" i="7"/>
  <c r="B20" i="7"/>
  <c r="C11" i="7"/>
  <c r="B16" i="7"/>
  <c r="B19" i="7"/>
  <c r="B8" i="7"/>
  <c r="B21" i="7"/>
  <c r="O24" i="2"/>
  <c r="O23" i="2"/>
  <c r="O22" i="2"/>
  <c r="O21" i="2"/>
  <c r="N24" i="2"/>
  <c r="N23" i="2"/>
  <c r="N22" i="2"/>
  <c r="N21" i="2"/>
  <c r="K32" i="11"/>
  <c r="W73" i="6"/>
  <c r="X73" i="6"/>
  <c r="Y73" i="6"/>
  <c r="Z73" i="6"/>
  <c r="AA73" i="6"/>
  <c r="L32" i="11"/>
  <c r="L33" i="11"/>
  <c r="L34" i="11"/>
  <c r="L35" i="11"/>
  <c r="L36" i="11"/>
  <c r="C46" i="6"/>
  <c r="D46" i="6"/>
  <c r="E46" i="6"/>
  <c r="F46" i="6"/>
  <c r="B46" i="6"/>
  <c r="B85" i="4"/>
  <c r="C85" i="4"/>
  <c r="D85" i="4"/>
  <c r="E85" i="4"/>
  <c r="F85" i="4"/>
  <c r="J36" i="11"/>
  <c r="J35" i="11"/>
  <c r="J34" i="11"/>
  <c r="J33" i="11"/>
  <c r="J32" i="11"/>
  <c r="J31" i="11"/>
  <c r="J30" i="11"/>
  <c r="B8" i="11"/>
  <c r="J29" i="11"/>
  <c r="J28" i="11"/>
  <c r="J27" i="11"/>
  <c r="B7" i="11"/>
  <c r="B6" i="11"/>
  <c r="F24" i="10"/>
  <c r="L32" i="10"/>
  <c r="L33" i="10"/>
  <c r="L34" i="10"/>
  <c r="L35" i="10"/>
  <c r="L36" i="10"/>
  <c r="K36" i="10"/>
  <c r="K35" i="10"/>
  <c r="K34" i="10"/>
  <c r="K33" i="10"/>
  <c r="K32" i="10"/>
  <c r="K31" i="10"/>
  <c r="K30" i="10"/>
  <c r="K29" i="10"/>
  <c r="K28" i="10"/>
  <c r="K27" i="10"/>
  <c r="J36" i="10"/>
  <c r="J35" i="10"/>
  <c r="J34" i="10"/>
  <c r="J33" i="10"/>
  <c r="J32" i="10"/>
  <c r="J31" i="10"/>
  <c r="J30" i="10"/>
  <c r="J29" i="10"/>
  <c r="J28" i="10"/>
  <c r="J27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39" i="10"/>
  <c r="R37" i="10"/>
  <c r="B8" i="10"/>
  <c r="B7" i="10"/>
  <c r="B6" i="10"/>
  <c r="B6" i="9"/>
  <c r="L32" i="9"/>
  <c r="L33" i="9"/>
  <c r="L34" i="9"/>
  <c r="L35" i="9"/>
  <c r="L36" i="9"/>
  <c r="F24" i="9"/>
  <c r="K36" i="9"/>
  <c r="K35" i="9"/>
  <c r="K34" i="9"/>
  <c r="K33" i="9"/>
  <c r="K32" i="9"/>
  <c r="K31" i="9"/>
  <c r="K30" i="9"/>
  <c r="K29" i="9"/>
  <c r="K28" i="9"/>
  <c r="K27" i="9"/>
  <c r="J36" i="9"/>
  <c r="J35" i="9"/>
  <c r="J34" i="9"/>
  <c r="J33" i="9"/>
  <c r="J32" i="9"/>
  <c r="J31" i="9"/>
  <c r="J30" i="9"/>
  <c r="J29" i="9"/>
  <c r="J28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42" i="9"/>
  <c r="Q40" i="9"/>
  <c r="L32" i="7"/>
  <c r="B8" i="9"/>
  <c r="B7" i="9"/>
  <c r="B3" i="9"/>
  <c r="E36" i="11"/>
  <c r="E35" i="11"/>
  <c r="E34" i="11"/>
  <c r="E33" i="11"/>
  <c r="E32" i="11"/>
  <c r="L31" i="11"/>
  <c r="E31" i="11"/>
  <c r="L30" i="11"/>
  <c r="E30" i="11"/>
  <c r="L29" i="11"/>
  <c r="E29" i="11"/>
  <c r="L28" i="11"/>
  <c r="E28" i="11"/>
  <c r="L27" i="11"/>
  <c r="E27" i="11"/>
  <c r="F22" i="11"/>
  <c r="F21" i="11"/>
  <c r="F20" i="11"/>
  <c r="F19" i="11"/>
  <c r="F18" i="11"/>
  <c r="F17" i="11"/>
  <c r="F16" i="11"/>
  <c r="F15" i="11"/>
  <c r="F14" i="11"/>
  <c r="F13" i="11"/>
  <c r="B1" i="11"/>
  <c r="E36" i="10"/>
  <c r="E35" i="10"/>
  <c r="E34" i="10"/>
  <c r="E33" i="10"/>
  <c r="E32" i="10"/>
  <c r="L31" i="10"/>
  <c r="E31" i="10"/>
  <c r="L30" i="10"/>
  <c r="E30" i="10"/>
  <c r="L29" i="10"/>
  <c r="E29" i="10"/>
  <c r="L28" i="10"/>
  <c r="E28" i="10"/>
  <c r="L27" i="10"/>
  <c r="E27" i="10"/>
  <c r="F22" i="10"/>
  <c r="F21" i="10"/>
  <c r="F20" i="10"/>
  <c r="F19" i="10"/>
  <c r="F18" i="10"/>
  <c r="F17" i="10"/>
  <c r="F16" i="10"/>
  <c r="F15" i="10"/>
  <c r="F14" i="10"/>
  <c r="F13" i="10"/>
  <c r="E36" i="9"/>
  <c r="E35" i="9"/>
  <c r="E34" i="9"/>
  <c r="E33" i="9"/>
  <c r="E32" i="9"/>
  <c r="L31" i="9"/>
  <c r="E31" i="9"/>
  <c r="L30" i="9"/>
  <c r="E30" i="9"/>
  <c r="L29" i="9"/>
  <c r="E29" i="9"/>
  <c r="L28" i="9"/>
  <c r="E28" i="9"/>
  <c r="L27" i="9"/>
  <c r="J27" i="9"/>
  <c r="E27" i="9"/>
  <c r="F22" i="9"/>
  <c r="F21" i="9"/>
  <c r="F20" i="9"/>
  <c r="F19" i="9"/>
  <c r="F18" i="9"/>
  <c r="F17" i="9"/>
  <c r="F16" i="9"/>
  <c r="F15" i="9"/>
  <c r="F14" i="9"/>
  <c r="F13" i="9"/>
  <c r="D76" i="2"/>
  <c r="E76" i="2"/>
  <c r="F76" i="2"/>
  <c r="G76" i="2"/>
  <c r="C76" i="2"/>
  <c r="D75" i="2"/>
  <c r="E75" i="2"/>
  <c r="F75" i="2"/>
  <c r="G75" i="2"/>
  <c r="C75" i="2"/>
  <c r="D74" i="2"/>
  <c r="E74" i="2"/>
  <c r="F74" i="2"/>
  <c r="G74" i="2"/>
  <c r="C74" i="2"/>
  <c r="D73" i="2"/>
  <c r="E73" i="2"/>
  <c r="F73" i="2"/>
  <c r="G73" i="2"/>
  <c r="C73" i="2"/>
  <c r="B1" i="7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45" i="3"/>
  <c r="L28" i="7"/>
  <c r="L29" i="7"/>
  <c r="L30" i="7"/>
  <c r="L31" i="7"/>
  <c r="L27" i="7"/>
  <c r="K35" i="7"/>
  <c r="I45" i="3"/>
  <c r="J32" i="7"/>
  <c r="J27" i="7"/>
  <c r="D35" i="8"/>
  <c r="E35" i="8"/>
  <c r="F35" i="8"/>
  <c r="G35" i="8"/>
  <c r="D36" i="8"/>
  <c r="E36" i="8"/>
  <c r="F36" i="8"/>
  <c r="G36" i="8"/>
  <c r="C36" i="8"/>
  <c r="C35" i="8"/>
  <c r="D25" i="8"/>
  <c r="E25" i="8"/>
  <c r="F25" i="8"/>
  <c r="G25" i="8"/>
  <c r="C25" i="8"/>
  <c r="E28" i="7"/>
  <c r="E29" i="7"/>
  <c r="E30" i="7"/>
  <c r="E31" i="7"/>
  <c r="E32" i="7"/>
  <c r="E33" i="7"/>
  <c r="E34" i="7"/>
  <c r="E35" i="7"/>
  <c r="E36" i="7"/>
  <c r="E27" i="7"/>
  <c r="D16" i="8"/>
  <c r="E16" i="8"/>
  <c r="F16" i="8"/>
  <c r="G16" i="8"/>
  <c r="C16" i="8"/>
  <c r="D7" i="8"/>
  <c r="E7" i="8"/>
  <c r="F7" i="8"/>
  <c r="G7" i="8"/>
  <c r="C7" i="8"/>
  <c r="D5" i="8"/>
  <c r="E5" i="8"/>
  <c r="F5" i="8"/>
  <c r="G5" i="8"/>
  <c r="C5" i="8"/>
  <c r="D4" i="8"/>
  <c r="E4" i="8"/>
  <c r="F4" i="8"/>
  <c r="G4" i="8"/>
  <c r="C4" i="8"/>
  <c r="C23" i="8" s="1"/>
  <c r="G14" i="8" l="1"/>
  <c r="G23" i="8"/>
  <c r="F14" i="8"/>
  <c r="F23" i="8"/>
  <c r="E14" i="8"/>
  <c r="E23" i="8"/>
  <c r="D14" i="8"/>
  <c r="D23" i="8"/>
  <c r="C15" i="8"/>
  <c r="C24" i="8"/>
  <c r="G15" i="8"/>
  <c r="G24" i="8"/>
  <c r="F15" i="8"/>
  <c r="F24" i="8"/>
  <c r="E15" i="8"/>
  <c r="E24" i="8"/>
  <c r="D15" i="8"/>
  <c r="D24" i="8"/>
  <c r="C17" i="8"/>
  <c r="C26" i="8"/>
  <c r="G17" i="8"/>
  <c r="G26" i="8"/>
  <c r="F17" i="8"/>
  <c r="F26" i="8"/>
  <c r="E17" i="8"/>
  <c r="E26" i="8"/>
  <c r="D17" i="8"/>
  <c r="D26" i="8"/>
  <c r="F28" i="9"/>
  <c r="Q6" i="9"/>
  <c r="H28" i="9"/>
  <c r="K36" i="7"/>
  <c r="K34" i="7"/>
  <c r="K33" i="7"/>
  <c r="K32" i="7"/>
  <c r="K31" i="7"/>
  <c r="M31" i="7" s="1"/>
  <c r="F46" i="7" s="1"/>
  <c r="K30" i="7"/>
  <c r="M30" i="7" s="1"/>
  <c r="F45" i="7" s="1"/>
  <c r="K29" i="7"/>
  <c r="M29" i="7" s="1"/>
  <c r="F44" i="7" s="1"/>
  <c r="K28" i="7"/>
  <c r="M28" i="7" s="1"/>
  <c r="F43" i="7" s="1"/>
  <c r="K27" i="7"/>
  <c r="M27" i="7" s="1"/>
  <c r="F42" i="7" s="1"/>
  <c r="S39" i="11"/>
  <c r="F24" i="11"/>
  <c r="D84" i="2"/>
  <c r="D83" i="2"/>
  <c r="D81" i="2"/>
  <c r="D80" i="2"/>
  <c r="C84" i="2"/>
  <c r="C83" i="2"/>
  <c r="C80" i="2"/>
  <c r="C81" i="2"/>
  <c r="A13" i="11"/>
  <c r="Q6" i="11"/>
  <c r="F36" i="11"/>
  <c r="H36" i="11" s="1"/>
  <c r="F35" i="11"/>
  <c r="H35" i="11" s="1"/>
  <c r="F34" i="11"/>
  <c r="H34" i="11" s="1"/>
  <c r="F33" i="11"/>
  <c r="H33" i="11" s="1"/>
  <c r="F32" i="11"/>
  <c r="H32" i="11" s="1"/>
  <c r="F31" i="11"/>
  <c r="H31" i="11" s="1"/>
  <c r="F30" i="11"/>
  <c r="H30" i="11" s="1"/>
  <c r="F29" i="11"/>
  <c r="H29" i="11" s="1"/>
  <c r="F28" i="11"/>
  <c r="H28" i="11" s="1"/>
  <c r="F27" i="11"/>
  <c r="H27" i="11" s="1"/>
  <c r="G36" i="11"/>
  <c r="G35" i="11"/>
  <c r="G34" i="11"/>
  <c r="G33" i="11"/>
  <c r="G32" i="11"/>
  <c r="G31" i="11"/>
  <c r="I31" i="11" s="1"/>
  <c r="G30" i="11"/>
  <c r="I30" i="11" s="1"/>
  <c r="G29" i="11"/>
  <c r="I29" i="11" s="1"/>
  <c r="G28" i="11"/>
  <c r="G27" i="11"/>
  <c r="M31" i="10"/>
  <c r="F46" i="10" s="1"/>
  <c r="M30" i="10"/>
  <c r="F45" i="10" s="1"/>
  <c r="M29" i="10"/>
  <c r="F44" i="10" s="1"/>
  <c r="M28" i="10"/>
  <c r="F43" i="10" s="1"/>
  <c r="M27" i="10"/>
  <c r="F42" i="10" s="1"/>
  <c r="A13" i="10"/>
  <c r="B13" i="10" s="1"/>
  <c r="Q6" i="10"/>
  <c r="F36" i="10"/>
  <c r="H36" i="10" s="1"/>
  <c r="F35" i="10"/>
  <c r="H35" i="10" s="1"/>
  <c r="F34" i="10"/>
  <c r="H34" i="10" s="1"/>
  <c r="F33" i="10"/>
  <c r="H33" i="10" s="1"/>
  <c r="F32" i="10"/>
  <c r="H32" i="10" s="1"/>
  <c r="F31" i="10"/>
  <c r="H31" i="10" s="1"/>
  <c r="F30" i="10"/>
  <c r="H30" i="10" s="1"/>
  <c r="F29" i="10"/>
  <c r="H29" i="10" s="1"/>
  <c r="F28" i="10"/>
  <c r="H28" i="10" s="1"/>
  <c r="F27" i="10"/>
  <c r="H27" i="10" s="1"/>
  <c r="G36" i="10"/>
  <c r="G35" i="10"/>
  <c r="G34" i="10"/>
  <c r="G33" i="10"/>
  <c r="G32" i="10"/>
  <c r="G31" i="10"/>
  <c r="I31" i="10" s="1"/>
  <c r="G30" i="10"/>
  <c r="I30" i="10" s="1"/>
  <c r="G29" i="10"/>
  <c r="I29" i="10" s="1"/>
  <c r="G28" i="10"/>
  <c r="I28" i="10" s="1"/>
  <c r="G27" i="10"/>
  <c r="I27" i="10" s="1"/>
  <c r="M31" i="9"/>
  <c r="F46" i="9" s="1"/>
  <c r="M30" i="9"/>
  <c r="F45" i="9" s="1"/>
  <c r="M29" i="9"/>
  <c r="F44" i="9" s="1"/>
  <c r="M28" i="9"/>
  <c r="F43" i="9" s="1"/>
  <c r="M27" i="9"/>
  <c r="F42" i="9" s="1"/>
  <c r="A13" i="9"/>
  <c r="F36" i="9"/>
  <c r="H36" i="9" s="1"/>
  <c r="F35" i="9"/>
  <c r="H35" i="9" s="1"/>
  <c r="F34" i="9"/>
  <c r="H34" i="9" s="1"/>
  <c r="F33" i="9"/>
  <c r="H33" i="9" s="1"/>
  <c r="F32" i="9"/>
  <c r="H32" i="9" s="1"/>
  <c r="F31" i="9"/>
  <c r="H31" i="9" s="1"/>
  <c r="F30" i="9"/>
  <c r="H30" i="9" s="1"/>
  <c r="F29" i="9"/>
  <c r="H29" i="9" s="1"/>
  <c r="F27" i="9"/>
  <c r="H27" i="9" s="1"/>
  <c r="G36" i="9"/>
  <c r="G35" i="9"/>
  <c r="G34" i="9"/>
  <c r="G33" i="9"/>
  <c r="G32" i="9"/>
  <c r="G31" i="9"/>
  <c r="I31" i="9" s="1"/>
  <c r="G30" i="9"/>
  <c r="I30" i="9" s="1"/>
  <c r="G29" i="9"/>
  <c r="I29" i="9" s="1"/>
  <c r="G28" i="9"/>
  <c r="I28" i="9" s="1"/>
  <c r="G27" i="9"/>
  <c r="I27" i="9" s="1"/>
  <c r="G28" i="7"/>
  <c r="G29" i="7"/>
  <c r="G30" i="7"/>
  <c r="G31" i="7"/>
  <c r="G32" i="7"/>
  <c r="G33" i="7"/>
  <c r="G34" i="7"/>
  <c r="G35" i="7"/>
  <c r="G36" i="7"/>
  <c r="G27" i="7"/>
  <c r="C14" i="8"/>
  <c r="J90" i="8"/>
  <c r="F22" i="7"/>
  <c r="F14" i="7"/>
  <c r="F15" i="7"/>
  <c r="F16" i="7"/>
  <c r="F17" i="7"/>
  <c r="F18" i="7"/>
  <c r="F19" i="7"/>
  <c r="F20" i="7"/>
  <c r="F21" i="7"/>
  <c r="F13" i="7"/>
  <c r="D69" i="2"/>
  <c r="E69" i="2"/>
  <c r="F69" i="2"/>
  <c r="G69" i="2"/>
  <c r="D68" i="2"/>
  <c r="E68" i="2"/>
  <c r="F68" i="2"/>
  <c r="G68" i="2"/>
  <c r="D67" i="2"/>
  <c r="E67" i="2"/>
  <c r="F67" i="2"/>
  <c r="G67" i="2"/>
  <c r="D66" i="2"/>
  <c r="E66" i="2"/>
  <c r="F66" i="2"/>
  <c r="G66" i="2"/>
  <c r="C69" i="2"/>
  <c r="C68" i="2"/>
  <c r="C67" i="2"/>
  <c r="C66" i="2"/>
  <c r="C60" i="2"/>
  <c r="B6" i="7"/>
  <c r="D62" i="2"/>
  <c r="E62" i="2"/>
  <c r="F62" i="2"/>
  <c r="G62" i="2"/>
  <c r="D61" i="2"/>
  <c r="E61" i="2"/>
  <c r="F61" i="2"/>
  <c r="G61" i="2"/>
  <c r="D60" i="2"/>
  <c r="E60" i="2"/>
  <c r="F60" i="2"/>
  <c r="G60" i="2"/>
  <c r="D59" i="2"/>
  <c r="E59" i="2"/>
  <c r="F59" i="2"/>
  <c r="G59" i="2"/>
  <c r="C62" i="2"/>
  <c r="C61" i="2"/>
  <c r="C59" i="2"/>
  <c r="D53" i="2"/>
  <c r="E53" i="2"/>
  <c r="F53" i="2"/>
  <c r="G53" i="2"/>
  <c r="C53" i="2"/>
  <c r="D55" i="2"/>
  <c r="E55" i="2"/>
  <c r="F55" i="2"/>
  <c r="G55" i="2"/>
  <c r="C55" i="2"/>
  <c r="D54" i="2"/>
  <c r="E54" i="2"/>
  <c r="F54" i="2"/>
  <c r="G54" i="2"/>
  <c r="C54" i="2"/>
  <c r="D52" i="2"/>
  <c r="E52" i="2"/>
  <c r="F52" i="2"/>
  <c r="G52" i="2"/>
  <c r="C52" i="2"/>
  <c r="D48" i="2"/>
  <c r="E48" i="2"/>
  <c r="F48" i="2"/>
  <c r="G48" i="2"/>
  <c r="D46" i="2"/>
  <c r="E46" i="2"/>
  <c r="F46" i="2"/>
  <c r="G46" i="2"/>
  <c r="D47" i="2"/>
  <c r="E47" i="2"/>
  <c r="F47" i="2"/>
  <c r="G47" i="2"/>
  <c r="C48" i="2"/>
  <c r="C47" i="2"/>
  <c r="C46" i="2"/>
  <c r="D45" i="2"/>
  <c r="E45" i="2"/>
  <c r="F45" i="2"/>
  <c r="G45" i="2"/>
  <c r="C45" i="2"/>
  <c r="D41" i="2"/>
  <c r="E41" i="2"/>
  <c r="F41" i="2"/>
  <c r="G41" i="2"/>
  <c r="C41" i="2"/>
  <c r="D40" i="2"/>
  <c r="F40" i="2"/>
  <c r="G40" i="2"/>
  <c r="C40" i="2"/>
  <c r="D39" i="2"/>
  <c r="E39" i="2"/>
  <c r="F39" i="2"/>
  <c r="G39" i="2"/>
  <c r="C39" i="2"/>
  <c r="D38" i="2"/>
  <c r="E38" i="2"/>
  <c r="F38" i="2"/>
  <c r="G38" i="2"/>
  <c r="C38" i="2"/>
  <c r="Q6" i="7"/>
  <c r="C33" i="2"/>
  <c r="C32" i="2"/>
  <c r="C31" i="2"/>
  <c r="D31" i="2"/>
  <c r="E31" i="2"/>
  <c r="F31" i="2"/>
  <c r="G31" i="2"/>
  <c r="B9" i="9" s="1"/>
  <c r="D32" i="2"/>
  <c r="E32" i="2"/>
  <c r="F32" i="2"/>
  <c r="G32" i="2"/>
  <c r="B9" i="10" s="1"/>
  <c r="M51" i="6"/>
  <c r="N51" i="6"/>
  <c r="O51" i="6"/>
  <c r="P51" i="6"/>
  <c r="L51" i="6"/>
  <c r="D33" i="2"/>
  <c r="E33" i="2"/>
  <c r="F33" i="2"/>
  <c r="G33" i="2"/>
  <c r="D11" i="2"/>
  <c r="E11" i="2"/>
  <c r="F11" i="2"/>
  <c r="G11" i="2"/>
  <c r="C11" i="2"/>
  <c r="E30" i="2"/>
  <c r="F30" i="2"/>
  <c r="C30" i="2"/>
  <c r="G4" i="2"/>
  <c r="D30" i="2"/>
  <c r="D25" i="2"/>
  <c r="E25" i="2"/>
  <c r="F25" i="2"/>
  <c r="G25" i="2"/>
  <c r="C25" i="2"/>
  <c r="D24" i="2"/>
  <c r="E24" i="2"/>
  <c r="F24" i="2"/>
  <c r="G24" i="2"/>
  <c r="C24" i="2"/>
  <c r="D23" i="2"/>
  <c r="E23" i="2"/>
  <c r="F23" i="2"/>
  <c r="G23" i="2"/>
  <c r="C23" i="2"/>
  <c r="G22" i="2"/>
  <c r="D14" i="2"/>
  <c r="E14" i="2"/>
  <c r="F14" i="2"/>
  <c r="G14" i="2"/>
  <c r="C14" i="2"/>
  <c r="D13" i="2"/>
  <c r="E13" i="2"/>
  <c r="F13" i="2"/>
  <c r="G13" i="2"/>
  <c r="C13" i="2"/>
  <c r="D12" i="2"/>
  <c r="E12" i="2"/>
  <c r="F12" i="2"/>
  <c r="G12" i="2"/>
  <c r="C12" i="2"/>
  <c r="C10" i="2"/>
  <c r="D10" i="2"/>
  <c r="E10" i="2"/>
  <c r="F10" i="2"/>
  <c r="G10" i="2"/>
  <c r="D9" i="2"/>
  <c r="E9" i="2"/>
  <c r="F9" i="2"/>
  <c r="G9" i="2"/>
  <c r="C9" i="2"/>
  <c r="D8" i="2"/>
  <c r="E8" i="2"/>
  <c r="F8" i="2"/>
  <c r="G8" i="2"/>
  <c r="C8" i="2"/>
  <c r="C83" i="4"/>
  <c r="D83" i="4"/>
  <c r="E83" i="4"/>
  <c r="F83" i="4"/>
  <c r="B83" i="4"/>
  <c r="D7" i="2"/>
  <c r="E7" i="2"/>
  <c r="F7" i="2"/>
  <c r="G7" i="2"/>
  <c r="C7" i="2"/>
  <c r="D6" i="2"/>
  <c r="E6" i="2"/>
  <c r="F6" i="2"/>
  <c r="G6" i="2"/>
  <c r="C6" i="2"/>
  <c r="D5" i="2"/>
  <c r="E5" i="2"/>
  <c r="F5" i="2"/>
  <c r="G5" i="2"/>
  <c r="C5" i="2"/>
  <c r="D4" i="2"/>
  <c r="D22" i="2" s="1"/>
  <c r="E4" i="2"/>
  <c r="E22" i="2" s="1"/>
  <c r="F4" i="2"/>
  <c r="F22" i="2" s="1"/>
  <c r="C4" i="2"/>
  <c r="C22" i="2" s="1"/>
  <c r="J128" i="1"/>
  <c r="A13" i="7" l="1"/>
  <c r="I27" i="11"/>
  <c r="I28" i="11"/>
  <c r="I36" i="11"/>
  <c r="U42" i="11"/>
  <c r="K33" i="11" s="1"/>
  <c r="U43" i="11"/>
  <c r="K34" i="11" s="1"/>
  <c r="U44" i="11"/>
  <c r="U45" i="11"/>
  <c r="U46" i="11"/>
  <c r="U47" i="11"/>
  <c r="U48" i="11"/>
  <c r="U49" i="11"/>
  <c r="U50" i="11"/>
  <c r="U51" i="11"/>
  <c r="U52" i="11"/>
  <c r="U53" i="11"/>
  <c r="U54" i="11"/>
  <c r="U55" i="11"/>
  <c r="U41" i="11"/>
  <c r="I32" i="11"/>
  <c r="I33" i="11"/>
  <c r="I34" i="11"/>
  <c r="I35" i="11"/>
  <c r="G22" i="11"/>
  <c r="H22" i="11" s="1"/>
  <c r="E51" i="11" s="1"/>
  <c r="G21" i="11"/>
  <c r="H21" i="11" s="1"/>
  <c r="E50" i="11" s="1"/>
  <c r="G20" i="11"/>
  <c r="H20" i="11" s="1"/>
  <c r="E49" i="11" s="1"/>
  <c r="G19" i="11"/>
  <c r="H19" i="11" s="1"/>
  <c r="E48" i="11" s="1"/>
  <c r="G18" i="11"/>
  <c r="H18" i="11" s="1"/>
  <c r="E47" i="11" s="1"/>
  <c r="G17" i="11"/>
  <c r="H17" i="11" s="1"/>
  <c r="E46" i="11" s="1"/>
  <c r="G16" i="11"/>
  <c r="H16" i="11" s="1"/>
  <c r="E45" i="11" s="1"/>
  <c r="G15" i="11"/>
  <c r="H15" i="11" s="1"/>
  <c r="E44" i="11" s="1"/>
  <c r="G14" i="11"/>
  <c r="H14" i="11" s="1"/>
  <c r="E43" i="11" s="1"/>
  <c r="G13" i="11"/>
  <c r="B5" i="11"/>
  <c r="M33" i="11"/>
  <c r="F48" i="11" s="1"/>
  <c r="M34" i="11"/>
  <c r="F49" i="11" s="1"/>
  <c r="I32" i="10"/>
  <c r="I33" i="10"/>
  <c r="I34" i="10"/>
  <c r="I35" i="10"/>
  <c r="I36" i="10"/>
  <c r="G22" i="10"/>
  <c r="H22" i="10" s="1"/>
  <c r="E51" i="10" s="1"/>
  <c r="G21" i="10"/>
  <c r="H21" i="10" s="1"/>
  <c r="E50" i="10" s="1"/>
  <c r="G20" i="10"/>
  <c r="H20" i="10" s="1"/>
  <c r="E49" i="10" s="1"/>
  <c r="G19" i="10"/>
  <c r="H19" i="10" s="1"/>
  <c r="E48" i="10" s="1"/>
  <c r="G18" i="10"/>
  <c r="H18" i="10" s="1"/>
  <c r="E47" i="10" s="1"/>
  <c r="G17" i="10"/>
  <c r="H17" i="10" s="1"/>
  <c r="E46" i="10" s="1"/>
  <c r="G46" i="10" s="1"/>
  <c r="G16" i="10"/>
  <c r="H16" i="10" s="1"/>
  <c r="E45" i="10" s="1"/>
  <c r="G45" i="10" s="1"/>
  <c r="G15" i="10"/>
  <c r="H15" i="10" s="1"/>
  <c r="E44" i="10" s="1"/>
  <c r="G44" i="10" s="1"/>
  <c r="G14" i="10"/>
  <c r="H14" i="10" s="1"/>
  <c r="E43" i="10" s="1"/>
  <c r="G43" i="10" s="1"/>
  <c r="G13" i="10"/>
  <c r="H13" i="10" s="1"/>
  <c r="E42" i="10" s="1"/>
  <c r="G42" i="10" s="1"/>
  <c r="B5" i="10"/>
  <c r="M32" i="10"/>
  <c r="F47" i="10" s="1"/>
  <c r="M33" i="10"/>
  <c r="F48" i="10" s="1"/>
  <c r="M34" i="10"/>
  <c r="F49" i="10" s="1"/>
  <c r="M35" i="10"/>
  <c r="F50" i="10" s="1"/>
  <c r="M36" i="10"/>
  <c r="F51" i="10" s="1"/>
  <c r="I32" i="9"/>
  <c r="I33" i="9"/>
  <c r="I34" i="9"/>
  <c r="I35" i="9"/>
  <c r="I36" i="9"/>
  <c r="G22" i="9"/>
  <c r="H22" i="9" s="1"/>
  <c r="E51" i="9" s="1"/>
  <c r="G21" i="9"/>
  <c r="H21" i="9" s="1"/>
  <c r="E50" i="9" s="1"/>
  <c r="G20" i="9"/>
  <c r="H20" i="9" s="1"/>
  <c r="E49" i="9" s="1"/>
  <c r="G19" i="9"/>
  <c r="H19" i="9" s="1"/>
  <c r="E48" i="9" s="1"/>
  <c r="G18" i="9"/>
  <c r="H18" i="9" s="1"/>
  <c r="E47" i="9" s="1"/>
  <c r="G17" i="9"/>
  <c r="H17" i="9" s="1"/>
  <c r="E46" i="9" s="1"/>
  <c r="G46" i="9" s="1"/>
  <c r="G16" i="9"/>
  <c r="H16" i="9" s="1"/>
  <c r="E45" i="9" s="1"/>
  <c r="G45" i="9" s="1"/>
  <c r="G15" i="9"/>
  <c r="H15" i="9" s="1"/>
  <c r="E44" i="9" s="1"/>
  <c r="G44" i="9" s="1"/>
  <c r="G14" i="9"/>
  <c r="H14" i="9" s="1"/>
  <c r="E43" i="9" s="1"/>
  <c r="G43" i="9" s="1"/>
  <c r="G13" i="9"/>
  <c r="H13" i="9" s="1"/>
  <c r="E42" i="9" s="1"/>
  <c r="G42" i="9" s="1"/>
  <c r="B5" i="9"/>
  <c r="M32" i="9"/>
  <c r="F47" i="9" s="1"/>
  <c r="M33" i="9"/>
  <c r="F48" i="9" s="1"/>
  <c r="M34" i="9"/>
  <c r="F49" i="9" s="1"/>
  <c r="M35" i="9"/>
  <c r="F50" i="9" s="1"/>
  <c r="M36" i="9"/>
  <c r="F51" i="9" s="1"/>
  <c r="J25" i="2"/>
  <c r="J24" i="2"/>
  <c r="J22" i="2"/>
  <c r="J21" i="2"/>
  <c r="I25" i="2"/>
  <c r="I24" i="2"/>
  <c r="I22" i="2"/>
  <c r="I21" i="2"/>
  <c r="G30" i="2"/>
  <c r="B9" i="7"/>
  <c r="F28" i="7"/>
  <c r="H28" i="7" s="1"/>
  <c r="F29" i="7"/>
  <c r="F30" i="7"/>
  <c r="F31" i="7"/>
  <c r="F32" i="7"/>
  <c r="H32" i="7" s="1"/>
  <c r="F33" i="7"/>
  <c r="H33" i="7" s="1"/>
  <c r="F34" i="7"/>
  <c r="H34" i="7" s="1"/>
  <c r="F35" i="7"/>
  <c r="H35" i="7" s="1"/>
  <c r="F36" i="7"/>
  <c r="H36" i="7" s="1"/>
  <c r="F27" i="7"/>
  <c r="H27" i="7" s="1"/>
  <c r="I27" i="7" s="1"/>
  <c r="I28" i="7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E48" i="7" s="1"/>
  <c r="G20" i="7"/>
  <c r="H20" i="7" s="1"/>
  <c r="E49" i="7" s="1"/>
  <c r="G21" i="7"/>
  <c r="H21" i="7" s="1"/>
  <c r="E50" i="7" s="1"/>
  <c r="G22" i="7"/>
  <c r="H22" i="7" s="1"/>
  <c r="E51" i="7" s="1"/>
  <c r="G13" i="7"/>
  <c r="H13" i="7" s="1"/>
  <c r="E42" i="7" s="1"/>
  <c r="G42" i="7" s="1"/>
  <c r="B5" i="7"/>
  <c r="H31" i="7" l="1"/>
  <c r="I31" i="7" s="1"/>
  <c r="H30" i="7"/>
  <c r="I30" i="7" s="1"/>
  <c r="H29" i="7"/>
  <c r="I29" i="7" s="1"/>
  <c r="E47" i="7"/>
  <c r="G47" i="7" s="1"/>
  <c r="E46" i="7"/>
  <c r="G46" i="7" s="1"/>
  <c r="E45" i="7"/>
  <c r="G45" i="7" s="1"/>
  <c r="E44" i="7"/>
  <c r="G44" i="7" s="1"/>
  <c r="E43" i="7"/>
  <c r="G43" i="7" s="1"/>
  <c r="H13" i="11"/>
  <c r="E42" i="11" s="1"/>
  <c r="B25" i="7"/>
  <c r="M32" i="11"/>
  <c r="F47" i="11" s="1"/>
  <c r="K31" i="11"/>
  <c r="M31" i="11" s="1"/>
  <c r="F46" i="11" s="1"/>
  <c r="G46" i="11" s="1"/>
  <c r="K30" i="11"/>
  <c r="M30" i="11" s="1"/>
  <c r="F45" i="11" s="1"/>
  <c r="G45" i="11" s="1"/>
  <c r="K29" i="11"/>
  <c r="M29" i="11" s="1"/>
  <c r="F44" i="11" s="1"/>
  <c r="G44" i="11" s="1"/>
  <c r="K28" i="11"/>
  <c r="M28" i="11" s="1"/>
  <c r="F43" i="11" s="1"/>
  <c r="G43" i="11" s="1"/>
  <c r="K27" i="11"/>
  <c r="M27" i="11" s="1"/>
  <c r="F42" i="11" s="1"/>
  <c r="G42" i="11" s="1"/>
  <c r="K36" i="11"/>
  <c r="M36" i="11" s="1"/>
  <c r="F51" i="11" s="1"/>
  <c r="K35" i="11"/>
  <c r="M35" i="11" s="1"/>
  <c r="F50" i="11" s="1"/>
  <c r="G47" i="11"/>
  <c r="G48" i="11"/>
  <c r="G49" i="11"/>
  <c r="G50" i="11"/>
  <c r="G51" i="11"/>
  <c r="G47" i="10"/>
  <c r="G48" i="10"/>
  <c r="G49" i="10"/>
  <c r="G50" i="10"/>
  <c r="G51" i="10"/>
  <c r="G47" i="9"/>
  <c r="G48" i="9"/>
  <c r="G49" i="9"/>
  <c r="G50" i="9"/>
  <c r="G51" i="9"/>
  <c r="L36" i="7"/>
  <c r="M36" i="7" s="1"/>
  <c r="F51" i="7" s="1"/>
  <c r="G51" i="7" s="1"/>
  <c r="I36" i="7"/>
  <c r="L35" i="7"/>
  <c r="M35" i="7" s="1"/>
  <c r="F50" i="7" s="1"/>
  <c r="G50" i="7" s="1"/>
  <c r="I35" i="7"/>
  <c r="M34" i="7"/>
  <c r="F49" i="7" s="1"/>
  <c r="G49" i="7" s="1"/>
  <c r="I34" i="7"/>
  <c r="M33" i="7"/>
  <c r="F48" i="7" s="1"/>
  <c r="G48" i="7" s="1"/>
  <c r="I33" i="7"/>
  <c r="M32" i="7"/>
  <c r="F47" i="7" s="1"/>
  <c r="I32" i="7"/>
  <c r="J23" i="2"/>
  <c r="I23" i="2"/>
  <c r="D82" i="2"/>
  <c r="C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Anamul Tasfiq</author>
  </authors>
  <commentList>
    <comment ref="B28" authorId="0" shapeId="0" xr:uid="{7EA5B08E-44E3-48CF-8A8C-12A7BF781848}">
      <text>
        <r>
          <rPr>
            <sz val="10"/>
            <rFont val="Arial"/>
            <family val="2"/>
          </rPr>
          <t>Let's ask prof ask about this in next class after vacation,@parvej</t>
        </r>
      </text>
    </comment>
    <comment ref="L35" authorId="0" shapeId="0" xr:uid="{67EB5CCD-8B36-4B81-9B08-102F0CC77F41}">
      <text>
        <r>
          <rPr>
            <sz val="10"/>
            <rFont val="Arial"/>
          </rPr>
          <t>Anamul Tasfiq:
Until at 70% debt ratio, the interest expense are 395064414.71 and therefore tax benefit will 30% 
of this amount.
At 80% debt ratio, the interest expenses will be increased to 451502188.24 , which is greater than the EBIT of 442000000. Thus, we need to consider the tax benefit on the interest expenses up to this ammount as well at 70%....90%</t>
        </r>
      </text>
    </comment>
  </commentList>
</comments>
</file>

<file path=xl/sharedStrings.xml><?xml version="1.0" encoding="utf-8"?>
<sst xmlns="http://schemas.openxmlformats.org/spreadsheetml/2006/main" count="2075" uniqueCount="597">
  <si>
    <t>ADDDF_balance-sheet_Annual_As_Originally_Reported</t>
  </si>
  <si>
    <t>2019</t>
  </si>
  <si>
    <t>2020</t>
  </si>
  <si>
    <t>2021</t>
  </si>
  <si>
    <t>2022</t>
  </si>
  <si>
    <t>2023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</si>
  <si>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</si>
  <si>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</si>
  <si>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</si>
  <si>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</si>
  <si>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Short Term Investments</t>
  </si>
  <si>
    <t xml:space="preserve">                Other Short Term Investments</t>
  </si>
  <si>
    <t xml:space="preserve">        Inventories</t>
  </si>
  <si>
    <t xml:space="preserve">            Raw Materials, Consumables and Supplies</t>
  </si>
  <si>
    <t xml:space="preserve">            Work-in-Process</t>
  </si>
  <si>
    <t xml:space="preserve">            Finished Goods and Merchandise</t>
  </si>
  <si>
    <t xml:space="preserve">            Inventory Allowance/Adjustments</t>
  </si>
  <si>
    <t/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</si>
  <si>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</si>
  <si>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</si>
  <si>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</si>
  <si>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</si>
  <si>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Taxes Receivable, Current</t>
  </si>
  <si>
    <t xml:space="preserve">            Notes Receivable, Current</t>
  </si>
  <si>
    <t xml:space="preserve">            Accrued Income/Unbilled Revenue/Cost in Excess of Billings, Current</t>
  </si>
  <si>
    <t xml:space="preserve">            Other Receivables, Current</t>
  </si>
  <si>
    <t xml:space="preserve">        Other Current Assets</t>
  </si>
  <si>
    <t xml:space="preserve">        Derivative Investment and Hedging Assets, Current</t>
  </si>
  <si>
    <t xml:space="preserve">        Prepayments and Deposits, Current</t>
  </si>
  <si>
    <t xml:space="preserve">        Deferred Costs/Assets, Current</t>
  </si>
  <si>
    <t xml:space="preserve">        Assets Held for Sale/Discontinued Operations,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</si>
  <si>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</si>
  <si>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</si>
  <si>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</si>
  <si>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</si>
  <si>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</si>
  <si>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Leasehold and Improvements</t>
  </si>
  <si>
    <t xml:space="preserve">                Construction in Progress and Advance Payments</t>
  </si>
  <si>
    <t xml:space="preserve">                Leased Property, Plant and Equipment</t>
  </si>
  <si>
    <t xml:space="preserve">                Other Property, Plant and Equipment</t>
  </si>
  <si>
    <t xml:space="preserve">            Accumulated Depreciation and Impairment</t>
  </si>
  <si>
    <t xml:space="preserve">                Accumulated Depreciation</t>
  </si>
  <si>
    <t xml:space="preserve">                    Accumulated Depreciation of Properties</t>
  </si>
  <si>
    <t xml:space="preserve">                        Accumulated Depreciation of Land and Improvements</t>
  </si>
  <si>
    <t xml:space="preserve">                    Accumulated Depreciation of Construction in Progress</t>
  </si>
  <si>
    <t xml:space="preserve">                    Accumulated Depreciation of Other Property, Plant and Equipment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</si>
  <si>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</si>
  <si>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</si>
  <si>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</si>
  <si>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</si>
  <si>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Other Intangible Assets</t>
  </si>
  <si>
    <t xml:space="preserve">                    Trademarks and Patents</t>
  </si>
  <si>
    <t xml:space="preserve">                    Software and Technology</t>
  </si>
  <si>
    <t xml:space="preserve">            Accumulated Amortization and Impairment</t>
  </si>
  <si>
    <t xml:space="preserve">                Accumulated Impairment of Intangible Assets</t>
  </si>
  <si>
    <t xml:space="preserve">                    Accumulated Impairment of Goodwill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</si>
  <si>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</si>
  <si>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</si>
  <si>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Other Intangible Assets</t>
  </si>
  <si>
    <t xml:space="preserve">                        Accumulated Amortization of Trademarks and Patents</t>
  </si>
  <si>
    <t xml:space="preserve">                        Accumulated Amortization of Software and Technology</t>
  </si>
  <si>
    <t xml:space="preserve">        Total Long Term Investments</t>
  </si>
  <si>
    <t xml:space="preserve">            Investment in Financial Assets, Non-Current</t>
  </si>
  <si>
    <t xml:space="preserve">                Equity Securities/Shares, Non-Current</t>
  </si>
  <si>
    <t xml:space="preserve">                Financial Assets Designated as Fair Value Through Profit or Loss, Non-Current</t>
  </si>
  <si>
    <t xml:space="preserve">                Other Financial Assets, Non-Current</t>
  </si>
  <si>
    <t xml:space="preserve">                Debt Securities, Non-Current</t>
  </si>
  <si>
    <t xml:space="preserve">                Financial Investment Securities, Available-for-Sale &amp; Held-to-Maturity, Non-Current</t>
  </si>
  <si>
    <t xml:space="preserve">                    Available-for-Sale Securities, Non-Current</t>
  </si>
  <si>
    <t xml:space="preserve">            Other Investments, Non-Current</t>
  </si>
  <si>
    <t xml:space="preserve">        Derivative Investment and Hedging Assets, Non-Current</t>
  </si>
  <si>
    <t xml:space="preserve">        Trade and Other Receivables, Non-Current</t>
  </si>
  <si>
    <t xml:space="preserve">            Loans Receivable, Non-Current</t>
  </si>
  <si>
    <t xml:space="preserve">        Prepayments and Deposits, Non-Current</t>
  </si>
  <si>
    <t xml:space="preserve">            Prepayments, Non-Current</t>
  </si>
  <si>
    <t xml:space="preserve">            Deposits Paid for Business and Fixed Assets, Non-Current</t>
  </si>
  <si>
    <t xml:space="preserve">        Deferred Tax Assets, Non-Current</t>
  </si>
  <si>
    <t xml:space="preserve">        Other Non-Current Assets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</si>
  <si>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</si>
  <si>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</si>
  <si>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</si>
  <si>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</si>
  <si>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</si>
  <si>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Taxes Payable, Current</t>
  </si>
  <si>
    <t xml:space="preserve">           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</si>
  <si>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</si>
  <si>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</si>
  <si>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</si>
  <si>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Notes Payable, Current Debt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</si>
  <si>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</si>
  <si>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</si>
  <si>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Convertible Loans/Debentures, Current Portion of LT Debt</t>
  </si>
  <si>
    <t xml:space="preserve">                        Bank/Institutional Loans, Current Portion of LT Debt</t>
  </si>
  <si>
    <t xml:space="preserve">                        Other Current Portion of LT Debt</t>
  </si>
  <si>
    <t xml:space="preserve">                    Capital Lease Obligations, Current</t>
  </si>
  <si>
    <t xml:space="preserve">            Derivative and Hedging Liabilities, Current</t>
  </si>
  <si>
    <t xml:space="preserve">            Other Financial Liabilities, Current</t>
  </si>
  <si>
    <t xml:space="preserve">        Provisions, Current</t>
  </si>
  <si>
    <t xml:space="preserve">            Provision for Employee Entitlements, Current</t>
  </si>
  <si>
    <t xml:space="preserve">                Other Employee-Related Liabilities, Current</t>
  </si>
  <si>
    <t xml:space="preserve">            Other Provisions,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</si>
  <si>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</si>
  <si>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</si>
  <si>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    Other Deferred Liabilities, Current</t>
  </si>
  <si>
    <t xml:space="preserve">        Other Current Liabilities</t>
  </si>
  <si>
    <t xml:space="preserve">        Discontinued Operations Liabilities, Current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</si>
  <si>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</si>
  <si>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</si>
  <si>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</si>
  <si>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</si>
  <si>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</si>
  <si>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            Convertible Debentures/Loans, Non-Current</t>
  </si>
  <si>
    <t xml:space="preserve">                    Bank/Institutional Loans, Non-Current</t>
  </si>
  <si>
    <t xml:space="preserve">                    Other Loans, Non-Current</t>
  </si>
  <si>
    <t xml:space="preserve">                Capital Lease Obligations, Non-Current</t>
  </si>
  <si>
    <t xml:space="preserve">            Derivative and Hedging Liabilities, Non-Current</t>
  </si>
  <si>
    <t xml:space="preserve">            Other Financial Liabilities, Non-Current</t>
  </si>
  <si>
    <t xml:space="preserve">        Provisions, Non-Current</t>
  </si>
  <si>
    <t xml:space="preserve">            Provision for Employee Entitlements, Non-Current</t>
  </si>
  <si>
    <t xml:space="preserve">                Pension and Other Post-Retirement Benefit Plans, Non-Current</t>
  </si>
  <si>
    <t xml:space="preserve">                Other Employee-Related Liabilities, Non-Current</t>
  </si>
  <si>
    <t xml:space="preserve">            Other Provisions, Non-Current</t>
  </si>
  <si>
    <t xml:space="preserve">        Tax Liabilities, Non-Current</t>
  </si>
  <si>
    <t xml:space="preserve">            Deferred Tax Liabilities, Non-Current</t>
  </si>
  <si>
    <t xml:space="preserve">        Deferred Liabilities, Non-Current</t>
  </si>
  <si>
    <t xml:space="preserve">            Deferred Income/Customer Advances/Billings in Excess of Cost, Non-Current</t>
  </si>
  <si>
    <t xml:space="preserve">            Other Deferred Liabilities, Non-Current</t>
  </si>
  <si>
    <t xml:space="preserve">        Payables and Accrued Expenses, Non-Current</t>
  </si>
  <si>
    <t xml:space="preserve">            Accrued Expenses,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</si>
  <si>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</si>
  <si>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</si>
  <si>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</si>
  <si>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</si>
  <si>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</si>
  <si>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</si>
  <si>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Additional Paid in Capital/Share Premium</t>
  </si>
  <si>
    <t xml:space="preserve">        Retained Earnings/Accumulated Deficit</t>
  </si>
  <si>
    <t xml:space="preserve">        Reserves/Accumulated Comprehensive Income/Losses</t>
  </si>
  <si>
    <t xml:space="preserve">            Other Reserves/Accum.Comp.Inc</t>
  </si>
  <si>
    <t xml:space="preserve">            Cumulative Foreign Exchange Translation Reserves/Accum.Comp.Inc</t>
  </si>
  <si>
    <t xml:space="preserve">            Gain/Loss from Cash Flow Hedges Reserves/Accum.Comp.Inc</t>
  </si>
  <si>
    <t xml:space="preserve">    Non-Controlling/Minority Interests in Equity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</si>
  <si>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</si>
  <si>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</si>
  <si>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</si>
  <si>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</si>
  <si>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</si>
  <si>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</si>
  <si>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due Beyond</t>
  </si>
  <si>
    <t xml:space="preserve">    Debt - Interests Charges and Other Adjustments</t>
  </si>
  <si>
    <t>Capital Lease Obligation Maturity Schedule Total</t>
  </si>
  <si>
    <t xml:space="preserve">    Capital Lease due in Year 1</t>
  </si>
  <si>
    <t xml:space="preserve">    Capital Lease due in Year 5</t>
  </si>
  <si>
    <t xml:space="preserve">    Capital Lease due Beyond</t>
  </si>
  <si>
    <t xml:space="preserve">    Capital Lease - Interests Charges and Other Adjustments</t>
  </si>
  <si>
    <t>Operating Lease Obligation Maturity Schedule Total</t>
  </si>
  <si>
    <t xml:space="preserve">    Operating Lease due in Year 1</t>
  </si>
  <si>
    <t xml:space="preserve">    Operating Lease due Beyond</t>
  </si>
  <si>
    <t xml:space="preserve">    Operating Lease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</si>
  <si>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</si>
  <si>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</si>
  <si>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2</t>
  </si>
  <si>
    <t xml:space="preserve">    Other Contractual Obligations due in Year 3</t>
  </si>
  <si>
    <t xml:space="preserve">    Other Contractual Obligations due Beyond</t>
  </si>
  <si>
    <t xml:space="preserve">    Other Contractual Obligations due in Year 4</t>
  </si>
  <si>
    <t xml:space="preserve">    Other Contractual Obligations due in Year 5</t>
  </si>
  <si>
    <t>Total Lease Liability</t>
  </si>
  <si>
    <t xml:space="preserve">    Total Lease Liability - Due in year 1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</si>
  <si>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</si>
  <si>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</si>
  <si>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</si>
  <si>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</si>
  <si>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</si>
  <si>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</si>
  <si>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</si>
  <si>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</si>
  <si>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</si>
  <si>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</si>
  <si>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</si>
  <si>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Fiscal year ends in Dec 31 | EUR</t>
  </si>
  <si>
    <t>ADDDF_income-statement_Annual_As_Originally_Reported</t>
  </si>
  <si>
    <t>Gross Profit</t>
  </si>
  <si>
    <t xml:space="preserve">    Total Revenue</t>
  </si>
  <si>
    <t xml:space="preserve">        Business Revenue</t>
  </si>
  <si>
    <t xml:space="preserve">    Cost of Revenue</t>
  </si>
  <si>
    <t xml:space="preserve">        Cost of Goods and Services</t>
  </si>
  <si>
    <t>Operating Income/Expenses</t>
  </si>
  <si>
    <t xml:space="preserve">    Selling, General and Administrative Expenses</t>
  </si>
  <si>
    <t xml:space="preserve">        General and Administrative Expenses</t>
  </si>
  <si>
    <t xml:space="preserve">        Selling and Marketing Expenses</t>
  </si>
  <si>
    <t xml:space="preserve">    Provisions</t>
  </si>
  <si>
    <t xml:space="preserve">        Other Provisions</t>
  </si>
  <si>
    <t xml:space="preserve">    Other Income/Expense, Operating</t>
  </si>
  <si>
    <t xml:space="preserve">        Other Income, Operating</t>
  </si>
  <si>
    <t xml:space="preserve">        Other Expenses, Operating</t>
  </si>
  <si>
    <t xml:space="preserve">    Research and Development Expenses</t>
  </si>
  <si>
    <t>Total Operating Profit/Loss</t>
  </si>
  <si>
    <t>Non-Operating Income/Expense,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</si>
  <si>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</si>
  <si>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</si>
  <si>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</si>
  <si>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</si>
  <si>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    Other Finance Income/Expenses</t>
  </si>
  <si>
    <t xml:space="preserve">            Other Finance Income</t>
  </si>
  <si>
    <t xml:space="preserve">            Other Finance Expenses</t>
  </si>
  <si>
    <t xml:space="preserve">    Net Investment Income</t>
  </si>
  <si>
    <t xml:space="preserve">        Gain/Loss on Foreign Currency Exchange</t>
  </si>
  <si>
    <t xml:space="preserve">    Irregular Income/Expense</t>
  </si>
  <si>
    <t xml:space="preserve">        Fixed Asset Disposals</t>
  </si>
  <si>
    <t xml:space="preserve">        Write Off/Write Down of Other Assets</t>
  </si>
  <si>
    <t xml:space="preserve">        Disposal of Businesses</t>
  </si>
  <si>
    <t xml:space="preserve">        Impairment/Write Off/Write Down of Capital Assets</t>
  </si>
  <si>
    <t xml:space="preserve">        Goodwill Impairment/Write Off</t>
  </si>
  <si>
    <t>Pretax Income</t>
  </si>
  <si>
    <t>Provision for Income Tax</t>
  </si>
  <si>
    <t>Net Income before Extraordinary Items and Discontinued Operations</t>
  </si>
  <si>
    <t>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</si>
  <si>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</si>
  <si>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</si>
  <si>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</si>
  <si>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</si>
  <si>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</si>
  <si>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</si>
  <si>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</si>
  <si>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</si>
  <si>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Total Operating Profit/Loss</t>
  </si>
  <si>
    <t xml:space="preserve">        Reported Effective Tax Rate</t>
  </si>
  <si>
    <t xml:space="preserve">        Reported Normalized EBITDA</t>
  </si>
  <si>
    <t xml:space="preserve">        Reported Normalized Income</t>
  </si>
  <si>
    <t xml:space="preserve">        Reported Normalized Operating Profit</t>
  </si>
  <si>
    <t xml:space="preserve">    Operating Income/Expense, Supplemental Section</t>
  </si>
  <si>
    <t xml:space="preserve">        Rent Expense, Supplemental</t>
  </si>
  <si>
    <t xml:space="preserve">        Depreciation, Amortization and Depletion, Supplemental</t>
  </si>
  <si>
    <t xml:space="preserve">            Depreciation and Amortization, Supplemental</t>
  </si>
  <si>
    <t xml:space="preserve">                Depreciation, Supplemental</t>
  </si>
  <si>
    <t xml:space="preserve">                Amortization, Supplemental</t>
  </si>
  <si>
    <t xml:space="preserve">    Non-Operating Income/Expense, Supplemental Section</t>
  </si>
  <si>
    <t xml:space="preserve">        Irregular Items, Supplemental</t>
  </si>
  <si>
    <t xml:space="preserve">            WriteOff/Write Down of Other Assets, Supplemental</t>
  </si>
  <si>
    <t xml:space="preserve">    Employee Costs and Professional Fees, Supplemental Section</t>
  </si>
  <si>
    <t xml:space="preserve">        Pension and Other Employee Benefits Costs, Supplemental</t>
  </si>
  <si>
    <t>Dilution to Earnings</t>
  </si>
  <si>
    <t>Basic EPS</t>
  </si>
  <si>
    <t xml:space="preserve">    Basic EPS from Continuing Operations</t>
  </si>
  <si>
    <t xml:space="preserve">    Basic EPS from Discontinued Operations</t>
  </si>
  <si>
    <t>Diluted EPS</t>
  </si>
  <si>
    <t xml:space="preserve">    Diluted EPS from Continuing Operations</t>
  </si>
  <si>
    <t xml:space="preserve">    Diluted EPS from Discontinued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</si>
  <si>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</si>
  <si>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</si>
  <si>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</si>
  <si>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</si>
  <si>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>Reported Normalized Basic EPS</t>
  </si>
  <si>
    <t>Reported Normalized Diluted EPS</t>
  </si>
  <si>
    <t>Basic WASO</t>
  </si>
  <si>
    <t>Diluted WASO</t>
  </si>
  <si>
    <t>EBITDA</t>
  </si>
  <si>
    <t>EBIT</t>
  </si>
  <si>
    <t>ADDDF_cash-flow_Annual_As_Originally_Reported</t>
  </si>
  <si>
    <t>TTM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</si>
  <si>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</si>
  <si>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</si>
  <si>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</si>
  <si>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</si>
  <si>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</si>
  <si>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</si>
  <si>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</si>
  <si>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</si>
  <si>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Interest and Finance Income/Expenses, Non-Cash Adjustment</t>
  </si>
  <si>
    <t xml:space="preserve">                Net Investment Income/Loss, Non-Cash Adjustment</t>
  </si>
  <si>
    <t xml:space="preserve">                    Net Foreign Currency Exchange Gain/Loss, Non-Cash Adjustment</t>
  </si>
  <si>
    <t xml:space="preserve">                Irregular Income/Loss, Non-Cash Adjustment</t>
  </si>
  <si>
    <t xml:space="preserve">                    Gain/Loss on Disposals, Non-Cash Adjustment</t>
  </si>
  <si>
    <t xml:space="preserve">                        Gain/Loss on Disposal/Sale of Fixed Assets, Non-Cash Adjustment</t>
  </si>
  <si>
    <t xml:space="preserve">                    Write Down and Write off of Other Assets, Non-Cash Adjustment</t>
  </si>
  <si>
    <t xml:space="preserve">                Other Non-Cash Items</t>
  </si>
  <si>
    <t xml:space="preserve">                Pension and Employee Benefit Expense, Non-Cash Adjustment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</si>
  <si>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</si>
  <si>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</si>
  <si>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</si>
  <si>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</si>
  <si>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</si>
  <si>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</si>
  <si>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Taxes Refund/Paid, Indirect</t>
  </si>
  <si>
    <t xml:space="preserve">        Interest Paid, CFO Indirect</t>
  </si>
  <si>
    <t xml:space="preserve">    Net Cash Flow from Discontinuing Operating Activities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</si>
  <si>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</si>
  <si>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</si>
  <si>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</si>
  <si>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</si>
  <si>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    Sale and Disposal of Property, Plant and Equipment</t>
  </si>
  <si>
    <t xml:space="preserve">        Purchase/Sale of Intangibles, Net</t>
  </si>
  <si>
    <t xml:space="preserve">            Purchase of Intangibles</t>
  </si>
  <si>
    <t xml:space="preserve">            Sale of Intangibles</t>
  </si>
  <si>
    <t xml:space="preserve">        Purchase/Sale of Business, Net</t>
  </si>
  <si>
    <t xml:space="preserve">            Purchase/Acquisition of Business</t>
  </si>
  <si>
    <t xml:space="preserve">            Sale of Business</t>
  </si>
  <si>
    <t xml:space="preserve">        Purchase/Sale of Investments, Net</t>
  </si>
  <si>
    <t xml:space="preserve">            Purchase of Investments</t>
  </si>
  <si>
    <t xml:space="preserve">            Sale of Investments</t>
  </si>
  <si>
    <t xml:space="preserve">        Interest Received/Paid, CFI</t>
  </si>
  <si>
    <t xml:space="preserve">        Purchase/Sale of Other Non-Current Assets, Net</t>
  </si>
  <si>
    <t xml:space="preserve">            Sales of Other Non-Current Assets</t>
  </si>
  <si>
    <t xml:space="preserve">    Net Cash Flow from Discontinuing Investing Activities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</si>
  <si>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</si>
  <si>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</si>
  <si>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</si>
  <si>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Proceeds from Issuance of Common Stock</t>
  </si>
  <si>
    <t xml:space="preserve">            Payments for Common Stock</t>
  </si>
  <si>
    <t xml:space="preserve">        Issuance of/Repayments for Debt, Net</t>
  </si>
  <si>
    <t xml:space="preserve">            Issuance of/Repayments for Short Term Debt, Net</t>
  </si>
  <si>
    <t xml:space="preserve">                Repayments for Short Term Debt</t>
  </si>
  <si>
    <t xml:space="preserve">                Proceeds from Issuance of Short Term Debt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</si>
  <si>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</si>
  <si>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</si>
  <si>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</si>
  <si>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Issuance of/Repayments for Lease Financing</t>
  </si>
  <si>
    <t xml:space="preserve">            Repayments for Lease Financing</t>
  </si>
  <si>
    <t xml:space="preserve">        Net Movement in Non-Controlling/Minority Interest</t>
  </si>
  <si>
    <t xml:space="preserve">        Cash Dividends and Interest Paid</t>
  </si>
  <si>
    <t xml:space="preserve">            Cash Dividends Paid</t>
  </si>
  <si>
    <t xml:space="preserve">                Common Stock Dividends Paid</t>
  </si>
  <si>
    <t xml:space="preserve">            Interest Paid, CFF</t>
  </si>
  <si>
    <t xml:space="preserve">        Cash Dividends Paid to Non-Controlling/Minority Interests</t>
  </si>
  <si>
    <t xml:space="preserve">        Other Financing Cash Flow</t>
  </si>
  <si>
    <t xml:space="preserve">    Net Cash Flow from Discontinuing Financing Activities</t>
  </si>
  <si>
    <t>Cash and Cash Equivalents, End of Period</t>
  </si>
  <si>
    <t xml:space="preserve">    Change in Cash</t>
  </si>
  <si>
    <t xml:space="preserve">    Effect of Exchange Rate Changes</t>
  </si>
  <si>
    <t xml:space="preserve">    Other Changes</t>
  </si>
  <si>
    <t xml:space="preserve">    Cash and Cash Equivalents, Beginning of Period</t>
  </si>
  <si>
    <t>Cash Flow Supplemental Section</t>
  </si>
  <si>
    <t xml:space="preserve">    Change in Cash as Reported, Supplemental</t>
  </si>
  <si>
    <t>`</t>
  </si>
  <si>
    <t>Under Armour</t>
  </si>
  <si>
    <t>Puma</t>
  </si>
  <si>
    <t>NKE_income-statement_Annual_As_Originally_Reported</t>
  </si>
  <si>
    <t>UAA_income-statement_Annual_As_Originally_Reported</t>
  </si>
  <si>
    <t>PUM_income-statement_Annual_As_Originally_Reported</t>
  </si>
  <si>
    <t xml:space="preserve">        Staff Cost, Cost of Revenue</t>
  </si>
  <si>
    <t>.</t>
  </si>
  <si>
    <t xml:space="preserve">    Other Income/Expense, Non-Operating</t>
  </si>
  <si>
    <t xml:space="preserve">        Restructuring and Reorganization Income/Expense</t>
  </si>
  <si>
    <t xml:space="preserve">        Merger and Acquisition Income/Expense</t>
  </si>
  <si>
    <t>Earnings from Equity Interest</t>
  </si>
  <si>
    <t xml:space="preserve">        Dividend and Investment Income</t>
  </si>
  <si>
    <t xml:space="preserve">        Income from Associates, JointVentures and Other Participating Interests</t>
  </si>
  <si>
    <t xml:space="preserve">            Share of Profit and Interest from Associates</t>
  </si>
  <si>
    <t xml:space="preserve">        Other Irregular Income/Expense</t>
  </si>
  <si>
    <t>Other Adjustments to Net Income Available to Common Stockholders</t>
  </si>
  <si>
    <t>Preferred Dividend Per Share</t>
  </si>
  <si>
    <t>Ebit</t>
  </si>
  <si>
    <t xml:space="preserve">        Reported Normalized EBIT</t>
  </si>
  <si>
    <t>NKE_cash-flow_Annual_As_Originally_Reported</t>
  </si>
  <si>
    <t>UAA_cash-flow_Annual_As_Originally_Reported</t>
  </si>
  <si>
    <t xml:space="preserve">            Impairment/Write Off/Write Down of Capital Assets, Supplemental</t>
  </si>
  <si>
    <t xml:space="preserve">            Other Irregular Income/Expense, Supplemental</t>
  </si>
  <si>
    <t xml:space="preserve">                        Amortization, Non-Cash Adjustment</t>
  </si>
  <si>
    <t xml:space="preserve">        Auditor Fees, Supplemental</t>
  </si>
  <si>
    <t xml:space="preserve">                Stock-Based Compensation, Non-Cash Adjustment</t>
  </si>
  <si>
    <t xml:space="preserve">        Non-Audit Fees Paid to Auditor, Supplemental</t>
  </si>
  <si>
    <t xml:space="preserve">                Deferred Taxes, Non-Cash Adjustment</t>
  </si>
  <si>
    <t xml:space="preserve">                Other Provisions, Non-Cash Adjustment</t>
  </si>
  <si>
    <t xml:space="preserve">                        Gain/Loss on Disposal/Sale of Business, Non-Cash Adjustment</t>
  </si>
  <si>
    <t xml:space="preserve">    Special Dividend Per Share Calc</t>
  </si>
  <si>
    <t xml:space="preserve">                    Change in Trade/Accounts Receivable</t>
  </si>
  <si>
    <t xml:space="preserve">                Change in Prepayments and Deposits</t>
  </si>
  <si>
    <t xml:space="preserve">                    Gain/Loss on Extinguishment of Debt, Non-Cash Adjustment</t>
  </si>
  <si>
    <t xml:space="preserve">                    Reorganization and M&amp;A, Non-Cash Adjustment</t>
  </si>
  <si>
    <t xml:space="preserve">                Excess Tax Benefit from Stock-Based Compensation, Non-Cash Adjustment</t>
  </si>
  <si>
    <t>PUM_cash-flow_Annual_As_Originally_Reported</t>
  </si>
  <si>
    <t xml:space="preserve">                Change in Other Current Assets</t>
  </si>
  <si>
    <t xml:space="preserve">        Other Investing Cash Flow</t>
  </si>
  <si>
    <t xml:space="preserve">                    Change in Accrued Expenses</t>
  </si>
  <si>
    <t xml:space="preserve">                Change in Other Current Liabilities</t>
  </si>
  <si>
    <t xml:space="preserve">                Change in Other Operating Capital</t>
  </si>
  <si>
    <t xml:space="preserve">                    Share of Profit/Loss from Associates, Joint Ventures and other Equity Investments, Non-Cash Adjustment</t>
  </si>
  <si>
    <t xml:space="preserve">                    Write off/Write down/Impairment of Capital Assets Loss/Reversal, Non-Cash Adjustment</t>
  </si>
  <si>
    <t xml:space="preserve">            Purchase of Other Non-Current Assets</t>
  </si>
  <si>
    <t xml:space="preserve">        Purchase/Sale of Equity Investments</t>
  </si>
  <si>
    <t xml:space="preserve">                    Change in Other Receivables</t>
  </si>
  <si>
    <t xml:space="preserve">        Proceeds from Issuance/Exercising of Stock Options/Warrants</t>
  </si>
  <si>
    <t xml:space="preserve">            Purchase of Joint Venture/Associate</t>
  </si>
  <si>
    <t xml:space="preserve">        Excess Tax Benefit from Share-Based Compensation, Financing Activities</t>
  </si>
  <si>
    <t xml:space="preserve">        Dividend Received, CFO Indirect</t>
  </si>
  <si>
    <t xml:space="preserve">    Income Tax Paid, Supplemental</t>
  </si>
  <si>
    <t xml:space="preserve">    Interest Paid, Supplemental</t>
  </si>
  <si>
    <t xml:space="preserve">        Issue and Financing Costs</t>
  </si>
  <si>
    <t>Fiscal year ends in May 31 | USD</t>
  </si>
  <si>
    <t xml:space="preserve">            Debt Issuance Costs</t>
  </si>
  <si>
    <t>NKE_balance-sheet_Annual_As_Originally_Reported</t>
  </si>
  <si>
    <t xml:space="preserve">                Cash</t>
  </si>
  <si>
    <t>##########</t>
  </si>
  <si>
    <t xml:space="preserve">                Cash Equivalents</t>
  </si>
  <si>
    <t xml:space="preserve">                Available-for-Sale Securities, Current</t>
  </si>
  <si>
    <t xml:space="preserve">    Income Tax Refund, Supplemental</t>
  </si>
  <si>
    <t>Fiscal year ends in Mar 31 | USD</t>
  </si>
  <si>
    <t xml:space="preserve">        Deferred Tax Assets, Current</t>
  </si>
  <si>
    <t>UAA_balance-sheet_Annual_As_Originally_Reported</t>
  </si>
  <si>
    <t xml:space="preserve">                    Buildings and Improvements</t>
  </si>
  <si>
    <t xml:space="preserve">                Machinery, Furniture and Equipment</t>
  </si>
  <si>
    <t xml:space="preserve">                    Plant and Machinery</t>
  </si>
  <si>
    <t xml:space="preserve">                    Furniture, Fixtures and Office Equipment</t>
  </si>
  <si>
    <t>PUM_balance-sheet_Annual_As_Originally_Reported</t>
  </si>
  <si>
    <t xml:space="preserve">            Other Inventories</t>
  </si>
  <si>
    <t xml:space="preserve">            Finance Lease Receivable, Current</t>
  </si>
  <si>
    <t xml:space="preserve">                Dividends Payable, Current</t>
  </si>
  <si>
    <t xml:space="preserve">                    Customer Relationships</t>
  </si>
  <si>
    <t xml:space="preserve">                    Commercial Paper</t>
  </si>
  <si>
    <t xml:space="preserve">                        Accumulated Amortization of Customer Relationships</t>
  </si>
  <si>
    <t xml:space="preserve">                    Accumulated Impairment of Other Intangible Assets</t>
  </si>
  <si>
    <t xml:space="preserve">                    Accumulated Depreciation of Machinery, Furniture and Equipment</t>
  </si>
  <si>
    <t xml:space="preserve">                        Accumulated Depreciation of Plant and Machinery</t>
  </si>
  <si>
    <t xml:space="preserve">                        Accumulated Depreciation of Furniture, Fixtures and Office Equipment</t>
  </si>
  <si>
    <t xml:space="preserve">                        Accumulated Depreciation of Leasehold and Improvements</t>
  </si>
  <si>
    <t xml:space="preserve">        Preferred Securities Outside Stock Equity</t>
  </si>
  <si>
    <t xml:space="preserve">                    Accumulated Depreciation of Leased Property, Plant and Equipment</t>
  </si>
  <si>
    <t xml:space="preserve">                    Bank/Credit Facilities, Current Debt</t>
  </si>
  <si>
    <t xml:space="preserve">                    Accumulated Amortization of Goodwill</t>
  </si>
  <si>
    <t xml:space="preserve">            Long Term Equity Investments</t>
  </si>
  <si>
    <t xml:space="preserve">                Investments in Associates</t>
  </si>
  <si>
    <t xml:space="preserve">            Finance Lease Receivable, Non-Current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</si>
  <si>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</si>
  <si>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</si>
  <si>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</si>
  <si>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</si>
  <si>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</si>
  <si>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</si>
  <si>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</si>
  <si>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</si>
  <si>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</si>
  <si>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        Treasury Stock</t>
  </si>
  <si>
    <t>Adidas</t>
  </si>
  <si>
    <t>Ratio</t>
  </si>
  <si>
    <t>Significance</t>
  </si>
  <si>
    <t>Debt to Equity Ratio</t>
  </si>
  <si>
    <t>Indicates the proportion of financing from debt versus equity</t>
  </si>
  <si>
    <t>Short-Term vs. Long-Term Debt</t>
  </si>
  <si>
    <t>Evaluate company´s debt maturity profile</t>
  </si>
  <si>
    <t>Current Ratio</t>
  </si>
  <si>
    <t>indicates short-term liquidity</t>
  </si>
  <si>
    <t>Debt to  Asset Ratio</t>
  </si>
  <si>
    <t>Shows the percentage of total assets financed by debt</t>
  </si>
  <si>
    <t>Net Debt-to-EBITDA Ratio</t>
  </si>
  <si>
    <t>Measures the company’s leverage relative to its operational cash flow.</t>
  </si>
  <si>
    <t>Return on Equity (ROE)</t>
  </si>
  <si>
    <t>Indicates how efficiently the company generates profit from shareholders’ investments.</t>
  </si>
  <si>
    <t>EBITDA Margin</t>
  </si>
  <si>
    <t>Shows operational profitability before accounting for interest, taxes, and depreciation.</t>
  </si>
  <si>
    <t>EBIT Interest Coverage Ratio</t>
  </si>
  <si>
    <t>Indicates the company’s ability to pay interest on its debt.</t>
  </si>
  <si>
    <t>Quick Ratio</t>
  </si>
  <si>
    <t>Focuses on liquid assets available to meet short-term obligations.</t>
  </si>
  <si>
    <t>Cash Flow-to-Debt Ratio</t>
  </si>
  <si>
    <t>Indicates how quickly the company can pay off debt with its operating cash flow.</t>
  </si>
  <si>
    <t>Free Cash Flow-to-Debt Ratio</t>
  </si>
  <si>
    <t>Shows cash available for debt repayment after capital expenditures.</t>
  </si>
  <si>
    <t>5  year</t>
  </si>
  <si>
    <t>Debt to Equity Ratio Comparison</t>
  </si>
  <si>
    <t xml:space="preserve">For all Company combine </t>
  </si>
  <si>
    <t>Metrics</t>
  </si>
  <si>
    <t>All Companies Combained</t>
  </si>
  <si>
    <t>Comapany Name</t>
  </si>
  <si>
    <t>Mean</t>
  </si>
  <si>
    <t>Median</t>
  </si>
  <si>
    <t>Nike</t>
  </si>
  <si>
    <t>Mode</t>
  </si>
  <si>
    <t>Minimum</t>
  </si>
  <si>
    <t>Maximum</t>
  </si>
  <si>
    <t>Return on Capital (ROC)</t>
  </si>
  <si>
    <t xml:space="preserve"> </t>
  </si>
  <si>
    <t>Operating Income / Sales</t>
  </si>
  <si>
    <t>Long-Term Debt / Capitalization</t>
  </si>
  <si>
    <t>Debt to Capital Ratio</t>
  </si>
  <si>
    <t>5 years statistics of debt to capital Ratio for Adidas and its competitors</t>
  </si>
  <si>
    <t>For All Company Combine</t>
  </si>
  <si>
    <t>Year</t>
  </si>
  <si>
    <t>S&amp;P Rating</t>
  </si>
  <si>
    <t>S&amp;P Outlook</t>
  </si>
  <si>
    <t>Moody's Rating</t>
  </si>
  <si>
    <t>Moody's Outlook</t>
  </si>
  <si>
    <t>N/A</t>
  </si>
  <si>
    <t>A+</t>
  </si>
  <si>
    <t>Stable</t>
  </si>
  <si>
    <t>A2</t>
  </si>
  <si>
    <t>Negative</t>
  </si>
  <si>
    <t>A-</t>
  </si>
  <si>
    <t>A3</t>
  </si>
  <si>
    <t>Treasury - adidas Annual Report 2023</t>
  </si>
  <si>
    <t>Ratings - adidas Group</t>
  </si>
  <si>
    <t>AA-</t>
  </si>
  <si>
    <t>A1</t>
  </si>
  <si>
    <t>BB</t>
  </si>
  <si>
    <t>Ba3</t>
  </si>
  <si>
    <t>Ba2</t>
  </si>
  <si>
    <t>Positive</t>
  </si>
  <si>
    <t>T Bond Rate</t>
  </si>
  <si>
    <t>German Rates &amp; Bonds - Bloomberg</t>
  </si>
  <si>
    <t>Interest Coverage Ratio</t>
  </si>
  <si>
    <t>Rating</t>
  </si>
  <si>
    <t>Spread (%)</t>
  </si>
  <si>
    <t>Interest Rate (%)</t>
  </si>
  <si>
    <t>&gt; 8.50</t>
  </si>
  <si>
    <t>Aaa/AAA</t>
  </si>
  <si>
    <t>6.5 –8.5</t>
  </si>
  <si>
    <t>Aa2/AA</t>
  </si>
  <si>
    <t>5.5 –6.5</t>
  </si>
  <si>
    <t>A1/A+</t>
  </si>
  <si>
    <t>4.25 –5.5</t>
  </si>
  <si>
    <t>A2/A</t>
  </si>
  <si>
    <t>3 –4.25</t>
  </si>
  <si>
    <t>A3/A-</t>
  </si>
  <si>
    <t>2.5 -3</t>
  </si>
  <si>
    <t>Baa2/BBB</t>
  </si>
  <si>
    <t>2.25 –2.5</t>
  </si>
  <si>
    <t>Ba1/BB+</t>
  </si>
  <si>
    <t>2 –2.25</t>
  </si>
  <si>
    <t>Ba2/BB</t>
  </si>
  <si>
    <t>1.75 -2</t>
  </si>
  <si>
    <t>B1/B+</t>
  </si>
  <si>
    <t>1.5 –1.75</t>
  </si>
  <si>
    <t>B2/B</t>
  </si>
  <si>
    <t>1.25 -1.5</t>
  </si>
  <si>
    <t>B3/B-</t>
  </si>
  <si>
    <t>0.8 -1.25</t>
  </si>
  <si>
    <t>Caa/CCC</t>
  </si>
  <si>
    <t>0.65 –0.8</t>
  </si>
  <si>
    <t>Ca2/CC</t>
  </si>
  <si>
    <t>0.2 –0.65</t>
  </si>
  <si>
    <t>C2/C</t>
  </si>
  <si>
    <t>&lt;0.2</t>
  </si>
  <si>
    <t>D2/D</t>
  </si>
  <si>
    <t>Risk-Free Rate (Rf)</t>
  </si>
  <si>
    <t>10-year U.S. Treasury bond yield 1990-2023 | Statista</t>
  </si>
  <si>
    <t>Market Risk Premium (Rm - Rf)</t>
  </si>
  <si>
    <t>https://www.statista.com/statistics/664840/average-market-risk-premium-usa</t>
  </si>
  <si>
    <t>Marginal Tax Rate</t>
  </si>
  <si>
    <t>https://taxfoundation.org/data/all/state/state-corporate-income-tax-rates-brackets-2024/</t>
  </si>
  <si>
    <t>Levered Beta (βL)</t>
  </si>
  <si>
    <t>adidas AG (ADS.DE) Stock Price, News, Quote &amp; History - Yahoo Finance</t>
  </si>
  <si>
    <t>Unlevered Beta (βU)</t>
  </si>
  <si>
    <t>Step-2</t>
  </si>
  <si>
    <t>Total Debt (D)</t>
  </si>
  <si>
    <t>Unlevered beta</t>
  </si>
  <si>
    <t>Total Equity €</t>
  </si>
  <si>
    <t>As of Dec 2023</t>
  </si>
  <si>
    <t>Step-3</t>
  </si>
  <si>
    <t>Estimate Cost of Equity</t>
  </si>
  <si>
    <t>D/E Ratio</t>
  </si>
  <si>
    <t>Levered Beta</t>
  </si>
  <si>
    <t>Cost of Equity</t>
  </si>
  <si>
    <t>Pre-Tax Cost of Debt</t>
  </si>
  <si>
    <t>Estimate Cost of Debts</t>
  </si>
  <si>
    <t>Debt</t>
  </si>
  <si>
    <t>Interest</t>
  </si>
  <si>
    <t>Pre-Tax Int. Cov</t>
  </si>
  <si>
    <t>Likely Rating</t>
  </si>
  <si>
    <t>Pre-Tax cost of debt</t>
  </si>
  <si>
    <t>Tax Rate</t>
  </si>
  <si>
    <t>After Tax Cost of Debt</t>
  </si>
  <si>
    <t>Nike´s Cost of Capital Schedule</t>
  </si>
  <si>
    <t>Cost of Equity</t>
  </si>
  <si>
    <t>After-tax Cost of Debt</t>
  </si>
  <si>
    <t>Cost of Capital</t>
  </si>
  <si>
    <t>Average market risk premium Germany 2023 | Statista</t>
  </si>
  <si>
    <t>2024 State Corporate Income Tax Rates &amp; Brackets</t>
  </si>
  <si>
    <t>adidas AG (ADS.DE) Stock Historical Prices &amp; Data - Yahoo Finance</t>
  </si>
  <si>
    <t>Risk free rate</t>
  </si>
  <si>
    <t>Under Armour´s Cost of Capital Schedule</t>
  </si>
  <si>
    <t>https://www.statista.com/statistics/664825/average-market-risk-premium-germany-europe/</t>
  </si>
  <si>
    <t>spglobal</t>
  </si>
  <si>
    <t>https://finance.yahoo.com/quote/PBYI/</t>
  </si>
  <si>
    <t>Puma´s Cost of Capital Schedule</t>
  </si>
  <si>
    <t xml:space="preserve">Value of equity based on market </t>
  </si>
  <si>
    <t>Free Cash flow to firm</t>
  </si>
  <si>
    <t>Wacc</t>
  </si>
  <si>
    <t>Current enterprize value</t>
  </si>
  <si>
    <t>After tax cost of debt</t>
  </si>
  <si>
    <t>Growth Rate</t>
  </si>
  <si>
    <t>Risk Free Rate</t>
  </si>
  <si>
    <t>Firm Value with optimal wacc</t>
  </si>
  <si>
    <t>Increase in firm value</t>
  </si>
  <si>
    <t>??????</t>
  </si>
  <si>
    <t>Adidas´s Cost of Capital Schedule</t>
  </si>
  <si>
    <t>WACC Statistics For the Industry</t>
  </si>
  <si>
    <t>='Dividend'!O23*</t>
  </si>
  <si>
    <t>We wrote the content based on our own ideas and used AI to enhance the quality of the language and refine the English.</t>
  </si>
  <si>
    <t>Dividend per share</t>
  </si>
  <si>
    <t>Dividend payout ratio</t>
  </si>
  <si>
    <t>Dividend yield</t>
  </si>
  <si>
    <t>Share Price (End of year) - Close price</t>
  </si>
  <si>
    <t xml:space="preserve">Dividends per share/Share Price </t>
  </si>
  <si>
    <t>Yahoo finance</t>
  </si>
  <si>
    <t>Share buybacks</t>
  </si>
  <si>
    <t>Total</t>
  </si>
  <si>
    <t>Adidas Dividend Yield</t>
  </si>
  <si>
    <t>Adidas Dividend Payout 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</si>
</sst>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"/>
    <numFmt numFmtId="165" formatCode="&quot;$&quot;#,##0.00"/>
    <numFmt numFmtId="166" formatCode="0.000%"/>
  </numFmts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20"/>
      <name val="Arial"/>
      <family val="2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4" fillId="0" borderId="0"/>
  </cellStyleXfs>
  <cellXfs count="10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right"/>
    </xf>
    <xf numFmtId="2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/>
    <xf numFmtId="0" fontId="5" fillId="0" borderId="0" xfId="1"/>
    <xf numFmtId="2" fontId="2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vertical="center"/>
    </xf>
    <xf numFmtId="0" fontId="2" fillId="0" borderId="0" xfId="2" applyNumberFormat="1" applyFont="1" applyFill="1" applyBorder="1" applyAlignment="1"/>
    <xf numFmtId="0" fontId="1" fillId="0" borderId="0" xfId="2" applyNumberFormat="1" applyFont="1" applyFill="1" applyBorder="1" applyAlignment="1">
      <alignment horizontal="center"/>
    </xf>
    <xf numFmtId="164" fontId="2" fillId="0" borderId="0" xfId="2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 vertical="center" indent="1"/>
    </xf>
    <xf numFmtId="164" fontId="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0" fontId="2" fillId="3" borderId="0" xfId="0" applyNumberFormat="1" applyFont="1" applyFill="1" applyBorder="1" applyAlignment="1"/>
    <xf numFmtId="0" fontId="1" fillId="3" borderId="0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NumberFormat="1" applyFont="1" applyFill="1" applyBorder="1" applyAlignment="1"/>
    <xf numFmtId="0" fontId="1" fillId="0" borderId="11" xfId="0" applyNumberFormat="1" applyFont="1" applyFill="1" applyBorder="1" applyAlignment="1"/>
    <xf numFmtId="0" fontId="1" fillId="0" borderId="12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3" fillId="0" borderId="15" xfId="0" applyNumberFormat="1" applyFont="1" applyFill="1" applyBorder="1" applyAlignment="1">
      <alignment horizontal="center" vertical="top"/>
    </xf>
    <xf numFmtId="0" fontId="3" fillId="0" borderId="16" xfId="0" applyNumberFormat="1" applyFont="1" applyFill="1" applyBorder="1" applyAlignment="1">
      <alignment horizontal="center" vertical="top"/>
    </xf>
    <xf numFmtId="0" fontId="3" fillId="0" borderId="17" xfId="0" applyNumberFormat="1" applyFont="1" applyFill="1" applyBorder="1" applyAlignment="1">
      <alignment horizontal="center" vertical="top"/>
    </xf>
    <xf numFmtId="0" fontId="4" fillId="0" borderId="0" xfId="3"/>
    <xf numFmtId="0" fontId="5" fillId="0" borderId="0" xfId="1" applyNumberFormat="1" applyFill="1" applyBorder="1" applyAlignment="1"/>
    <xf numFmtId="0" fontId="0" fillId="3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0" fillId="0" borderId="13" xfId="0" applyNumberFormat="1" applyFont="1" applyFill="1" applyBorder="1" applyAlignment="1"/>
    <xf numFmtId="0" fontId="0" fillId="0" borderId="14" xfId="0" applyNumberFormat="1" applyFont="1" applyFill="1" applyBorder="1" applyAlignment="1"/>
    <xf numFmtId="0" fontId="0" fillId="0" borderId="6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/>
    <xf numFmtId="0" fontId="0" fillId="0" borderId="14" xfId="0" applyNumberFormat="1" applyFont="1" applyFill="1" applyBorder="1" applyAlignment="1">
      <alignment horizontal="right"/>
    </xf>
    <xf numFmtId="0" fontId="0" fillId="0" borderId="9" xfId="0" applyNumberFormat="1" applyFont="1" applyFill="1" applyBorder="1" applyAlignment="1">
      <alignment horizontal="right"/>
    </xf>
    <xf numFmtId="9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10" fontId="4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0" fontId="3" fillId="0" borderId="21" xfId="3" applyFont="1" applyBorder="1" applyAlignment="1">
      <alignment horizontal="center" vertical="top"/>
    </xf>
    <xf numFmtId="0" fontId="3" fillId="0" borderId="22" xfId="3" applyFont="1" applyBorder="1" applyAlignment="1">
      <alignment horizontal="center" vertical="top"/>
    </xf>
    <xf numFmtId="0" fontId="3" fillId="0" borderId="23" xfId="3" applyFont="1" applyBorder="1" applyAlignment="1">
      <alignment horizontal="center" vertical="top"/>
    </xf>
    <xf numFmtId="0" fontId="4" fillId="0" borderId="24" xfId="3" applyBorder="1"/>
    <xf numFmtId="0" fontId="4" fillId="0" borderId="26" xfId="3" applyBorder="1"/>
    <xf numFmtId="0" fontId="4" fillId="0" borderId="27" xfId="3" applyBorder="1"/>
    <xf numFmtId="9" fontId="4" fillId="0" borderId="27" xfId="3" applyNumberFormat="1" applyBorder="1"/>
    <xf numFmtId="10" fontId="4" fillId="0" borderId="0" xfId="3" applyNumberFormat="1"/>
    <xf numFmtId="9" fontId="4" fillId="0" borderId="0" xfId="3" applyNumberFormat="1"/>
    <xf numFmtId="10" fontId="4" fillId="0" borderId="25" xfId="3" applyNumberFormat="1" applyBorder="1"/>
    <xf numFmtId="166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2" fontId="0" fillId="0" borderId="13" xfId="0" applyNumberFormat="1" applyFont="1" applyFill="1" applyBorder="1" applyAlignment="1"/>
    <xf numFmtId="2" fontId="0" fillId="0" borderId="18" xfId="0" applyNumberFormat="1" applyFont="1" applyFill="1" applyBorder="1" applyAlignment="1"/>
    <xf numFmtId="2" fontId="0" fillId="0" borderId="5" xfId="0" applyNumberFormat="1" applyFont="1" applyFill="1" applyBorder="1" applyAlignment="1"/>
    <xf numFmtId="2" fontId="0" fillId="0" borderId="19" xfId="0" applyNumberFormat="1" applyFont="1" applyFill="1" applyBorder="1" applyAlignment="1"/>
    <xf numFmtId="2" fontId="0" fillId="0" borderId="7" xfId="0" applyNumberFormat="1" applyFont="1" applyFill="1" applyBorder="1" applyAlignment="1"/>
    <xf numFmtId="2" fontId="0" fillId="0" borderId="20" xfId="0" applyNumberFormat="1" applyFont="1" applyFill="1" applyBorder="1" applyAlignment="1"/>
    <xf numFmtId="166" fontId="0" fillId="4" borderId="0" xfId="0" applyNumberFormat="1" applyFont="1" applyFill="1" applyBorder="1" applyAlignment="1"/>
    <xf numFmtId="10" fontId="0" fillId="4" borderId="0" xfId="0" applyNumberFormat="1" applyFont="1" applyFill="1" applyBorder="1" applyAlignment="1"/>
    <xf numFmtId="9" fontId="0" fillId="2" borderId="0" xfId="0" applyNumberFormat="1" applyFont="1" applyFill="1" applyBorder="1" applyAlignment="1"/>
    <xf numFmtId="164" fontId="8" fillId="3" borderId="0" xfId="0" applyNumberFormat="1" applyFont="1" applyFill="1" applyBorder="1" applyAlignment="1">
      <alignment horizontal="right"/>
    </xf>
    <xf numFmtId="0" fontId="9" fillId="3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10" fillId="3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2" fontId="8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right"/>
    </xf>
    <xf numFmtId="0" fontId="0" fillId="5" borderId="0" xfId="0" applyNumberFormat="1" applyFont="1" applyFill="1" applyBorder="1" applyAlignment="1"/>
    <xf numFmtId="0" fontId="11" fillId="3" borderId="0" xfId="0" applyNumberFormat="1" applyFont="1" applyFill="1" applyBorder="1" applyAlignment="1"/>
    <xf numFmtId="0" fontId="12" fillId="3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2" fontId="13" fillId="0" borderId="0" xfId="0" applyNumberFormat="1" applyFont="1" applyFill="1" applyBorder="1" applyAlignment="1"/>
    <xf numFmtId="165" fontId="13" fillId="0" borderId="0" xfId="0" applyNumberFormat="1" applyFont="1" applyFill="1" applyBorder="1" applyAlignment="1"/>
    <xf numFmtId="0" fontId="0" fillId="0" borderId="28" xfId="0" applyNumberFormat="1" applyFont="1" applyFill="1" applyBorder="1" applyAlignment="1"/>
    <xf numFmtId="0" fontId="0" fillId="0" borderId="28" xfId="0" applyNumberFormat="1" applyFont="1" applyFill="1" applyBorder="1" applyAlignment="1">
      <alignment horizontal="right"/>
    </xf>
    <xf numFmtId="0" fontId="14" fillId="3" borderId="14" xfId="0" applyNumberFormat="1" applyFont="1" applyFill="1" applyBorder="1" applyAlignment="1"/>
    <xf numFmtId="0" fontId="14" fillId="3" borderId="18" xfId="0" applyNumberFormat="1" applyFont="1" applyFill="1" applyBorder="1" applyAlignment="1"/>
    <xf numFmtId="0" fontId="14" fillId="3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8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15" fillId="0" borderId="0" xfId="0" applyNumberFormat="1" applyFont="1" applyFill="1" applyBorder="1" applyAlignment="1">
      <alignment horizontal="left" wrapText="1"/>
    </xf>
    <xf numFmtId="0" fontId="0" fillId="2" borderId="0" xfId="0" applyNumberFormat="1" applyFont="1" applyFill="1" applyBorder="1" applyAlignment="1">
      <alignment horizontal="center" wrapText="1"/>
    </xf>
  </cellXfs>
  <cellStyles count="4">
    <cellStyle name="Hyperlink" xfId="1" builtinId="8"/>
    <cellStyle name="Normal" xfId="0" builtinId="0"/>
    <cellStyle name="Normal 2" xfId="2" xr:uid="{86E5ED92-226A-45AA-B566-218C47FE042F}"/>
    <cellStyle name="Normal 3" xfId="3" xr:uid="{770BA226-E310-4BB0-B4B6-FE9DA4B5A56D}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font>
        <color rgb="FF000000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.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NIke´s of Capital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'WACC Approach Nike'!$E$41</c:f>
              <c:strCache>
                <c:ptCount val="1"/>
                <c:pt idx="0">
                  <c:v>Cost of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'WACC Approach Nike'!$D$42:$D$51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Nike'!$E$42:$E$51</c:f>
              <c:numCache>
                <c:formatCode>0.00%</c:formatCode>
                <c:ptCount val="10"/>
                <c:pt idx="0">
                  <c:v>9.0961496157788091E-2</c:v>
                </c:pt>
                <c:pt idx="1">
                  <c:v>9.503617485297261E-2</c:v>
                </c:pt>
                <c:pt idx="2">
                  <c:v>0.10012952322195327</c:v>
                </c:pt>
                <c:pt idx="3">
                  <c:v>0.10667811398207125</c:v>
                </c:pt>
                <c:pt idx="4">
                  <c:v>0.11540956832889521</c:v>
                </c:pt>
                <c:pt idx="5">
                  <c:v>0.12763360441444879</c:v>
                </c:pt>
                <c:pt idx="6">
                  <c:v>0.14596965854277913</c:v>
                </c:pt>
                <c:pt idx="7">
                  <c:v>0.17652974875666302</c:v>
                </c:pt>
                <c:pt idx="8">
                  <c:v>0.23764992918443087</c:v>
                </c:pt>
                <c:pt idx="9">
                  <c:v>0.42101047046773443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6-4BBA-8D68-099F679702FF}"/>
            </c:ext>
          </c:extLst>
        </c:ser>
        <c:ser>
          <c:idx val="1"/>
          <c:order val="1"/>
          <c:tx>
            <c:strRef>
              <c:f>'WACC Approach Nike'!$F$41</c:f>
              <c:strCache>
                <c:ptCount val="1"/>
                <c:pt idx="0">
                  <c:v>After-tax Cost of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'WACC Approach Nike'!$D$42:$D$51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Nike'!$F$42:$F$51</c:f>
              <c:numCache>
                <c:formatCode>0.000%</c:formatCode>
                <c:ptCount val="10"/>
                <c:pt idx="0">
                  <c:v>3.1130399999999999E-2</c:v>
                </c:pt>
                <c:pt idx="1">
                  <c:v>3.1130399999999999E-2</c:v>
                </c:pt>
                <c:pt idx="2">
                  <c:v>3.3272400000000001E-2</c:v>
                </c:pt>
                <c:pt idx="3">
                  <c:v>3.4343400000000003E-2</c:v>
                </c:pt>
                <c:pt idx="4">
                  <c:v>3.7556399999999997E-2</c:v>
                </c:pt>
                <c:pt idx="5">
                  <c:v>3.7556399999999997E-2</c:v>
                </c:pt>
                <c:pt idx="6">
                  <c:v>4.2554399999999999E-2</c:v>
                </c:pt>
                <c:pt idx="7">
                  <c:v>4.9694399999999993E-2</c:v>
                </c:pt>
                <c:pt idx="8">
                  <c:v>5.68344E-2</c:v>
                </c:pt>
                <c:pt idx="9">
                  <c:v>6.7544400000000004E-2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6-4BBA-8D68-099F679702FF}"/>
            </c:ext>
          </c:extLst>
        </c:ser>
        <c:ser>
          <c:idx val="2"/>
          <c:order val="2"/>
          <c:tx>
            <c:strRef>
              <c:f>'WACC Approach Nike'!$G$41</c:f>
              <c:strCache>
                <c:ptCount val="1"/>
                <c:pt idx="0">
                  <c:v>Cost of Capital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'WACC Approach Nike'!$D$42:$D$51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Nike'!$G$42:$G$51</c:f>
              <c:numCache>
                <c:formatCode>0.00%</c:formatCode>
                <c:ptCount val="10"/>
                <c:pt idx="0">
                  <c:v>9.0961496157788091E-2</c:v>
                </c:pt>
                <c:pt idx="1">
                  <c:v>8.8645597367675355E-2</c:v>
                </c:pt>
                <c:pt idx="2">
                  <c:v>8.6758098577562628E-2</c:v>
                </c:pt>
                <c:pt idx="3">
                  <c:v>8.4977699787449859E-2</c:v>
                </c:pt>
                <c:pt idx="4">
                  <c:v>8.426830099733712E-2</c:v>
                </c:pt>
                <c:pt idx="5">
                  <c:v>8.2595002207224391E-2</c:v>
                </c:pt>
                <c:pt idx="6">
                  <c:v>8.3920503417111658E-2</c:v>
                </c:pt>
                <c:pt idx="7">
                  <c:v>8.7745004626998913E-2</c:v>
                </c:pt>
                <c:pt idx="8">
                  <c:v>9.2997505836886166E-2</c:v>
                </c:pt>
                <c:pt idx="9">
                  <c:v>0.10289100704677344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86-4BBA-8D68-099F67970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657927"/>
        <c:axId val="1416679943"/>
      </c:lineChart>
      <c:catAx>
        <c:axId val="141665792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9943"/>
        <c:crosses val="autoZero"/>
        <c:auto val="1"/>
        <c:lblAlgn val="ctr"/>
        <c:lblOffset val="100"/>
        <c:noMultiLvlLbl val="0"/>
      </c:catAx>
      <c:valAx>
        <c:axId val="1416679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1665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 Amours´s Cost of Capital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'WACC Approach Under Armour'!$E$41</c:f>
              <c:strCache>
                <c:ptCount val="1"/>
                <c:pt idx="0">
                  <c:v>Cost of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'WACC Approach Under Armour'!$D$42:$D$51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Under Armour'!$E$42:$E$51</c:f>
              <c:numCache>
                <c:formatCode>0.00%</c:formatCode>
                <c:ptCount val="10"/>
                <c:pt idx="0">
                  <c:v>0.10367836466441901</c:v>
                </c:pt>
                <c:pt idx="1">
                  <c:v>0.10871563610887194</c:v>
                </c:pt>
                <c:pt idx="2">
                  <c:v>0.11501222541443812</c:v>
                </c:pt>
                <c:pt idx="3">
                  <c:v>0.12310784023588034</c:v>
                </c:pt>
                <c:pt idx="4">
                  <c:v>0.13390199333113664</c:v>
                </c:pt>
                <c:pt idx="5">
                  <c:v>0.14901380766449546</c:v>
                </c:pt>
                <c:pt idx="6">
                  <c:v>0.17168152916453366</c:v>
                </c:pt>
                <c:pt idx="7">
                  <c:v>0.20946106499793068</c:v>
                </c:pt>
                <c:pt idx="8">
                  <c:v>0.28502013666472481</c:v>
                </c:pt>
                <c:pt idx="9">
                  <c:v>0.51169735166510721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7-4A14-B440-2C14FA468354}"/>
            </c:ext>
          </c:extLst>
        </c:ser>
        <c:ser>
          <c:idx val="1"/>
          <c:order val="1"/>
          <c:tx>
            <c:strRef>
              <c:f>'WACC Approach Under Armour'!$F$41</c:f>
              <c:strCache>
                <c:ptCount val="1"/>
                <c:pt idx="0">
                  <c:v>After-tax Cost of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'WACC Approach Under Armour'!$D$42:$D$51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Under Armour'!$F$42:$F$51</c:f>
              <c:numCache>
                <c:formatCode>0.000%</c:formatCode>
                <c:ptCount val="10"/>
                <c:pt idx="0">
                  <c:v>3.0846999999999999E-2</c:v>
                </c:pt>
                <c:pt idx="1">
                  <c:v>3.0846999999999999E-2</c:v>
                </c:pt>
                <c:pt idx="2">
                  <c:v>3.0846999999999999E-2</c:v>
                </c:pt>
                <c:pt idx="3">
                  <c:v>3.4030750000000005E-2</c:v>
                </c:pt>
                <c:pt idx="4">
                  <c:v>3.5092000000000005E-2</c:v>
                </c:pt>
                <c:pt idx="5">
                  <c:v>3.7214500000000005E-2</c:v>
                </c:pt>
                <c:pt idx="6">
                  <c:v>3.7214500000000005E-2</c:v>
                </c:pt>
                <c:pt idx="7">
                  <c:v>4.2167000000000003E-2</c:v>
                </c:pt>
                <c:pt idx="8">
                  <c:v>4.9242000000000001E-2</c:v>
                </c:pt>
                <c:pt idx="9">
                  <c:v>5.6317000000000006E-2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7-4A14-B440-2C14FA468354}"/>
            </c:ext>
          </c:extLst>
        </c:ser>
        <c:ser>
          <c:idx val="2"/>
          <c:order val="2"/>
          <c:tx>
            <c:strRef>
              <c:f>'WACC Approach Under Armour'!$G$41</c:f>
              <c:strCache>
                <c:ptCount val="1"/>
                <c:pt idx="0">
                  <c:v>Cost of Capital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'WACC Approach Under Armour'!$D$42:$D$51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Under Armour'!$G$42:$G$51</c:f>
              <c:numCache>
                <c:formatCode>0.00%</c:formatCode>
                <c:ptCount val="10"/>
                <c:pt idx="0">
                  <c:v>0.10367836466441901</c:v>
                </c:pt>
                <c:pt idx="1">
                  <c:v>0.10092877249798475</c:v>
                </c:pt>
                <c:pt idx="2">
                  <c:v>9.81791803315505E-2</c:v>
                </c:pt>
                <c:pt idx="3">
                  <c:v>9.6384713165116237E-2</c:v>
                </c:pt>
                <c:pt idx="4">
                  <c:v>9.4377995998681991E-2</c:v>
                </c:pt>
                <c:pt idx="5">
                  <c:v>9.3114153832247734E-2</c:v>
                </c:pt>
                <c:pt idx="6">
                  <c:v>9.1001311665813475E-2</c:v>
                </c:pt>
                <c:pt idx="7">
                  <c:v>9.2355219499379207E-2</c:v>
                </c:pt>
                <c:pt idx="8">
                  <c:v>9.6397627332944949E-2</c:v>
                </c:pt>
                <c:pt idx="9">
                  <c:v>0.10185503516651072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7-4A14-B440-2C14FA46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657927"/>
        <c:axId val="1416679943"/>
      </c:lineChart>
      <c:catAx>
        <c:axId val="141665792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9943"/>
        <c:crosses val="autoZero"/>
        <c:auto val="1"/>
        <c:lblAlgn val="ctr"/>
        <c:lblOffset val="100"/>
        <c:noMultiLvlLbl val="0"/>
      </c:catAx>
      <c:valAx>
        <c:axId val="1416679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1665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Puma´s Cost of Capital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'⛔️WACC Approach Puma'!$E$41</c:f>
              <c:strCache>
                <c:ptCount val="1"/>
                <c:pt idx="0">
                  <c:v>Cost of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'⛔️WACC Approach Puma'!$E$42:$E$51</c:f>
              <c:numCache>
                <c:formatCode>0.00%</c:formatCode>
                <c:ptCount val="10"/>
                <c:pt idx="0">
                  <c:v>6.8128087198169096E-2</c:v>
                </c:pt>
                <c:pt idx="1">
                  <c:v>7.1498049535804464E-2</c:v>
                </c:pt>
                <c:pt idx="2">
                  <c:v>7.5710502457848688E-2</c:v>
                </c:pt>
                <c:pt idx="3">
                  <c:v>8.1126513357619834E-2</c:v>
                </c:pt>
                <c:pt idx="4">
                  <c:v>8.8347861223981361E-2</c:v>
                </c:pt>
                <c:pt idx="5">
                  <c:v>9.8457748236887466E-2</c:v>
                </c:pt>
                <c:pt idx="6">
                  <c:v>0.11362257875624665</c:v>
                </c:pt>
                <c:pt idx="7">
                  <c:v>0.13889729628851194</c:v>
                </c:pt>
                <c:pt idx="8">
                  <c:v>0.18944673135304257</c:v>
                </c:pt>
                <c:pt idx="9">
                  <c:v>0.34109503654663448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A-4971-9320-B7614A8A9925}"/>
            </c:ext>
          </c:extLst>
        </c:ser>
        <c:ser>
          <c:idx val="1"/>
          <c:order val="1"/>
          <c:tx>
            <c:strRef>
              <c:f>'⛔️WACC Approach Puma'!$F$41</c:f>
              <c:strCache>
                <c:ptCount val="1"/>
                <c:pt idx="0">
                  <c:v>After-tax Cost of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'⛔️WACC Approach Puma'!$F$42:$F$51</c:f>
              <c:numCache>
                <c:formatCode>0.000%</c:formatCode>
                <c:ptCount val="10"/>
                <c:pt idx="0">
                  <c:v>2.0159999999999997E-2</c:v>
                </c:pt>
                <c:pt idx="1">
                  <c:v>2.0159999999999997E-2</c:v>
                </c:pt>
                <c:pt idx="2">
                  <c:v>2.0159999999999997E-2</c:v>
                </c:pt>
                <c:pt idx="3">
                  <c:v>2.0159999999999997E-2</c:v>
                </c:pt>
                <c:pt idx="4">
                  <c:v>2.0159999999999997E-2</c:v>
                </c:pt>
                <c:pt idx="5">
                  <c:v>2.0159999999999997E-2</c:v>
                </c:pt>
                <c:pt idx="6">
                  <c:v>2.2259999999999999E-2</c:v>
                </c:pt>
                <c:pt idx="7">
                  <c:v>2.3309999999999997E-2</c:v>
                </c:pt>
                <c:pt idx="8">
                  <c:v>2.4359999999999996E-2</c:v>
                </c:pt>
                <c:pt idx="9">
                  <c:v>2.4359999999999996E-2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A-4971-9320-B7614A8A9925}"/>
            </c:ext>
          </c:extLst>
        </c:ser>
        <c:ser>
          <c:idx val="2"/>
          <c:order val="2"/>
          <c:tx>
            <c:strRef>
              <c:f>'⛔️WACC Approach Puma'!$G$41</c:f>
              <c:strCache>
                <c:ptCount val="1"/>
                <c:pt idx="0">
                  <c:v>Cost of Capital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'⛔️WACC Approach Puma'!$G$42:$G$51</c:f>
              <c:numCache>
                <c:formatCode>0.00%</c:formatCode>
                <c:ptCount val="10"/>
                <c:pt idx="0">
                  <c:v>6.8128087198169096E-2</c:v>
                </c:pt>
                <c:pt idx="1">
                  <c:v>6.6364244582224022E-2</c:v>
                </c:pt>
                <c:pt idx="2">
                  <c:v>6.4600401966278947E-2</c:v>
                </c:pt>
                <c:pt idx="3">
                  <c:v>6.2836559350333887E-2</c:v>
                </c:pt>
                <c:pt idx="4">
                  <c:v>6.107271673438882E-2</c:v>
                </c:pt>
                <c:pt idx="5">
                  <c:v>5.9308874118443732E-2</c:v>
                </c:pt>
                <c:pt idx="6">
                  <c:v>5.8805031502498661E-2</c:v>
                </c:pt>
                <c:pt idx="7">
                  <c:v>5.7986188886553588E-2</c:v>
                </c:pt>
                <c:pt idx="8">
                  <c:v>5.7377346270608504E-2</c:v>
                </c:pt>
                <c:pt idx="9">
                  <c:v>5.6033503654663433E-2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A-4971-9320-B7614A8A9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657927"/>
        <c:axId val="1416679943"/>
      </c:lineChart>
      <c:catAx>
        <c:axId val="1416657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9943"/>
        <c:crosses val="autoZero"/>
        <c:auto val="1"/>
        <c:lblAlgn val="ctr"/>
        <c:lblOffset val="100"/>
        <c:noMultiLvlLbl val="0"/>
      </c:catAx>
      <c:valAx>
        <c:axId val="141667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5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Adidas´s Cost of Capital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'WACC Approach Adidas'!$E$41</c:f>
              <c:strCache>
                <c:ptCount val="1"/>
                <c:pt idx="0">
                  <c:v>Cost of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'WACC Approach Adidas'!$D$42:$D$51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Adidas'!$E$42:$E$51</c:f>
              <c:numCache>
                <c:formatCode>0.00%</c:formatCode>
                <c:ptCount val="10"/>
                <c:pt idx="0">
                  <c:v>7.1934430929275858E-2</c:v>
                </c:pt>
                <c:pt idx="1">
                  <c:v>7.5600442223775099E-2</c:v>
                </c:pt>
                <c:pt idx="2">
                  <c:v>8.0182956341899134E-2</c:v>
                </c:pt>
                <c:pt idx="3">
                  <c:v>8.6074760208058626E-2</c:v>
                </c:pt>
                <c:pt idx="4">
                  <c:v>9.3930498696271264E-2</c:v>
                </c:pt>
                <c:pt idx="5">
                  <c:v>0.10492853257976896</c:v>
                </c:pt>
                <c:pt idx="6">
                  <c:v>0.12142558340501551</c:v>
                </c:pt>
                <c:pt idx="7">
                  <c:v>0.14892066811375976</c:v>
                </c:pt>
                <c:pt idx="8">
                  <c:v>0.20391083753124828</c:v>
                </c:pt>
                <c:pt idx="9">
                  <c:v>0.36888134578371384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3-4DFC-A203-931FAEDA5B01}"/>
            </c:ext>
          </c:extLst>
        </c:ser>
        <c:ser>
          <c:idx val="1"/>
          <c:order val="1"/>
          <c:tx>
            <c:strRef>
              <c:f>'WACC Approach Adidas'!$F$41</c:f>
              <c:strCache>
                <c:ptCount val="1"/>
                <c:pt idx="0">
                  <c:v>After-tax Cost of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'WACC Approach Adidas'!$D$42:$D$51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Adidas'!$F$42:$F$51</c:f>
              <c:numCache>
                <c:formatCode>0.000%</c:formatCode>
                <c:ptCount val="10"/>
                <c:pt idx="0">
                  <c:v>2.0159999999999997E-2</c:v>
                </c:pt>
                <c:pt idx="1">
                  <c:v>2.4359999999999996E-2</c:v>
                </c:pt>
                <c:pt idx="2">
                  <c:v>3.1359999999999999E-2</c:v>
                </c:pt>
                <c:pt idx="3">
                  <c:v>5.5859999999999993E-2</c:v>
                </c:pt>
                <c:pt idx="4">
                  <c:v>6.810999999999999E-2</c:v>
                </c:pt>
                <c:pt idx="5">
                  <c:v>7.8609999999999999E-2</c:v>
                </c:pt>
                <c:pt idx="6">
                  <c:v>7.8609999999999999E-2</c:v>
                </c:pt>
                <c:pt idx="7">
                  <c:v>8.3860000000000004E-2</c:v>
                </c:pt>
                <c:pt idx="8">
                  <c:v>9.1679520303220158E-2</c:v>
                </c:pt>
                <c:pt idx="9">
                  <c:v>9.5915129158417906E-2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C3-4DFC-A203-931FAEDA5B01}"/>
            </c:ext>
          </c:extLst>
        </c:ser>
        <c:ser>
          <c:idx val="2"/>
          <c:order val="2"/>
          <c:tx>
            <c:strRef>
              <c:f>'WACC Approach Adidas'!$G$41</c:f>
              <c:strCache>
                <c:ptCount val="1"/>
                <c:pt idx="0">
                  <c:v>Cost of Capital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'WACC Approach Adidas'!$D$42:$D$51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'WACC Approach Adidas'!$G$42:$G$51</c:f>
              <c:numCache>
                <c:formatCode>0.00%</c:formatCode>
                <c:ptCount val="10"/>
                <c:pt idx="0">
                  <c:v>7.1934430929275858E-2</c:v>
                </c:pt>
                <c:pt idx="1">
                  <c:v>7.0476398001397586E-2</c:v>
                </c:pt>
                <c:pt idx="2">
                  <c:v>7.0418365073519312E-2</c:v>
                </c:pt>
                <c:pt idx="3">
                  <c:v>7.7010332145641028E-2</c:v>
                </c:pt>
                <c:pt idx="4">
                  <c:v>8.3602299217762743E-2</c:v>
                </c:pt>
                <c:pt idx="5">
                  <c:v>9.176926628988448E-2</c:v>
                </c:pt>
                <c:pt idx="6">
                  <c:v>9.5736233362006207E-2</c:v>
                </c:pt>
                <c:pt idx="7">
                  <c:v>0.10337820043412793</c:v>
                </c:pt>
                <c:pt idx="8">
                  <c:v>0.11412578374882577</c:v>
                </c:pt>
                <c:pt idx="9">
                  <c:v>0.12321175082094749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C3-4DFC-A203-931FAEDA5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657927"/>
        <c:axId val="1416679943"/>
      </c:lineChart>
      <c:catAx>
        <c:axId val="1416657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9943"/>
        <c:crosses val="autoZero"/>
        <c:auto val="1"/>
        <c:lblAlgn val="ctr"/>
        <c:lblOffset val="100"/>
        <c:noMultiLvlLbl val="0"/>
      </c:catAx>
      <c:valAx>
        <c:axId val="1416679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41665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Dividend!$B$41</c:f>
              <c:strCache>
                <c:ptCount val="1"/>
                <c:pt idx="0">
                  <c:v>Adidas Dividend Yield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Dividend!$C$41:$G$41</c:f>
              <c:numCache>
                <c:formatCode>0.00%</c:formatCode>
                <c:ptCount val="5"/>
                <c:pt idx="0">
                  <c:v>1.1559696342305038E-2</c:v>
                </c:pt>
                <c:pt idx="1">
                  <c:v>0</c:v>
                </c:pt>
                <c:pt idx="2">
                  <c:v>1.1848341232227489E-2</c:v>
                </c:pt>
                <c:pt idx="3">
                  <c:v>2.5890475443276321E-2</c:v>
                </c:pt>
                <c:pt idx="4">
                  <c:v>3.8010425716768028E-3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F-4ECA-873F-60919D15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261576"/>
        <c:axId val="1281264136"/>
      </c:barChart>
      <c:lineChart>
        <c:grouping val="standard"/>
        <c:varyColors val="0"/>
        <c:ser>
          <c:idx val="1"/>
          <c:order val="1"/>
          <c:tx>
            <c:strRef>
              <c:f>Dividend!$B$42</c:f>
              <c:strCache>
                <c:ptCount val="1"/>
                <c:pt idx="0">
                  <c:v>Adidas Dividend Payout 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Dividend!$C$42:$G$42</c:f>
              <c:numCache>
                <c:formatCode>General</c:formatCode>
                <c:ptCount val="5"/>
                <c:pt idx="0">
                  <c:v>0.33500000000000002</c:v>
                </c:pt>
                <c:pt idx="1">
                  <c:v>0</c:v>
                </c:pt>
                <c:pt idx="2">
                  <c:v>0.27522935779816515</c:v>
                </c:pt>
                <c:pt idx="3">
                  <c:v>0.9880239520958084</c:v>
                </c:pt>
                <c:pt idx="4">
                  <c:v>-1.6666666666666665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F-4ECA-873F-60919D15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818824"/>
        <c:axId val="1310810632"/>
      </c:lineChart>
      <c:catAx>
        <c:axId val="1281261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64136"/>
        <c:crosses val="autoZero"/>
        <c:auto val="1"/>
        <c:lblAlgn val="ctr"/>
        <c:lblOffset val="100"/>
        <c:noMultiLvlLbl val="0"/>
      </c:catAx>
      <c:valAx>
        <c:axId val="128126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61576"/>
        <c:crosses val="autoZero"/>
        <c:crossBetween val="between"/>
      </c:valAx>
      <c:valAx>
        <c:axId val="13108106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18824"/>
        <c:crosses val="max"/>
        <c:crossBetween val="between"/>
      </c:valAx>
      <c:catAx>
        <c:axId val="1310818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310810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32</xdr:row>
      <xdr:rowOff>57150</xdr:rowOff>
    </xdr:from>
    <xdr:to>
      <xdr:col>8</xdr:col>
      <xdr:colOff>371475</xdr:colOff>
      <xdr:row>55</xdr:row>
      <xdr:rowOff>57150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C972B5D-DEE0-A71F-69E8-10D7DBED9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5267325"/>
          <a:ext cx="4572000" cy="3724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63197</xdr:colOff>
      <xdr:row>7</xdr:row>
      <xdr:rowOff>106947</xdr:rowOff>
    </xdr:from>
    <xdr:to>
      <xdr:col>32</xdr:col>
      <xdr:colOff>81917</xdr:colOff>
      <xdr:row>24</xdr:row>
      <xdr:rowOff>69690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30FB8C-E1AF-4B6C-AE7E-D8B9B2B4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0047" y="1240422"/>
          <a:ext cx="7943520" cy="2744043"/>
        </a:xfrm>
        <a:prstGeom prst="rect">
          <a:avLst/>
        </a:prstGeom>
      </xdr:spPr>
    </xdr:pic>
    <xdr:clientData/>
  </xdr:twoCellAnchor>
  <xdr:twoCellAnchor editAs="oneCell">
    <xdr:from>
      <xdr:col>16</xdr:col>
      <xdr:colOff>213895</xdr:colOff>
      <xdr:row>26</xdr:row>
      <xdr:rowOff>26737</xdr:rowOff>
    </xdr:from>
    <xdr:to>
      <xdr:col>26</xdr:col>
      <xdr:colOff>247243</xdr:colOff>
      <xdr:row>30</xdr:row>
      <xdr:rowOff>122981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A97E057-5B8E-4AF5-BACD-08A4F52A2A2B}"/>
            </a:ext>
            <a:ext uri="{147F2762-F138-4A5C-976F-8EAC2B608ADB}">
              <a16:predDERef xmlns:a16="http://schemas.microsoft.com/office/drawing/2014/main" pred="{E330FB8C-E1AF-4B6C-AE7E-D8B9B2B4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01945" y="4265362"/>
          <a:ext cx="7062798" cy="858244"/>
        </a:xfrm>
        <a:prstGeom prst="rect">
          <a:avLst/>
        </a:prstGeom>
      </xdr:spPr>
    </xdr:pic>
    <xdr:clientData/>
  </xdr:twoCellAnchor>
  <xdr:twoCellAnchor>
    <xdr:from>
      <xdr:col>7</xdr:col>
      <xdr:colOff>628650</xdr:colOff>
      <xdr:row>37</xdr:row>
      <xdr:rowOff>19050</xdr:rowOff>
    </xdr:from>
    <xdr:to>
      <xdr:col>12</xdr:col>
      <xdr:colOff>1133475</xdr:colOff>
      <xdr:row>61</xdr:row>
      <xdr:rowOff>152400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1F27F8C-FB01-49AE-83A8-347CB6B539C6}"/>
            </a:ext>
            <a:ext uri="{147F2762-F138-4A5C-976F-8EAC2B608ADB}">
              <a16:predDERef xmlns:a16="http://schemas.microsoft.com/office/drawing/2014/main" pred="{CA97E057-5B8E-4AF5-BACD-08A4F52A2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63197</xdr:colOff>
      <xdr:row>7</xdr:row>
      <xdr:rowOff>106947</xdr:rowOff>
    </xdr:from>
    <xdr:to>
      <xdr:col>32</xdr:col>
      <xdr:colOff>81917</xdr:colOff>
      <xdr:row>24</xdr:row>
      <xdr:rowOff>69690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759BAE-68EC-4B05-8223-DACDA1E34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0047" y="1240422"/>
          <a:ext cx="7943520" cy="2744043"/>
        </a:xfrm>
        <a:prstGeom prst="rect">
          <a:avLst/>
        </a:prstGeom>
      </xdr:spPr>
    </xdr:pic>
    <xdr:clientData/>
  </xdr:twoCellAnchor>
  <xdr:twoCellAnchor editAs="oneCell">
    <xdr:from>
      <xdr:col>16</xdr:col>
      <xdr:colOff>213895</xdr:colOff>
      <xdr:row>26</xdr:row>
      <xdr:rowOff>26737</xdr:rowOff>
    </xdr:from>
    <xdr:to>
      <xdr:col>25</xdr:col>
      <xdr:colOff>371068</xdr:colOff>
      <xdr:row>30</xdr:row>
      <xdr:rowOff>122981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E9356C3-BC01-47F1-9CA5-BD65594E6624}"/>
            </a:ext>
            <a:ext uri="{147F2762-F138-4A5C-976F-8EAC2B608ADB}">
              <a16:predDERef xmlns:a16="http://schemas.microsoft.com/office/drawing/2014/main" pred="{A7759BAE-68EC-4B05-8223-DACDA1E34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01945" y="4265362"/>
          <a:ext cx="7062798" cy="858244"/>
        </a:xfrm>
        <a:prstGeom prst="rect">
          <a:avLst/>
        </a:prstGeom>
      </xdr:spPr>
    </xdr:pic>
    <xdr:clientData/>
  </xdr:twoCellAnchor>
  <xdr:twoCellAnchor>
    <xdr:from>
      <xdr:col>7</xdr:col>
      <xdr:colOff>66675</xdr:colOff>
      <xdr:row>36</xdr:row>
      <xdr:rowOff>142875</xdr:rowOff>
    </xdr:from>
    <xdr:to>
      <xdr:col>12</xdr:col>
      <xdr:colOff>571500</xdr:colOff>
      <xdr:row>61</xdr:row>
      <xdr:rowOff>85725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028953B-3402-4827-8C19-DA7B7787D4CC}"/>
            </a:ext>
            <a:ext uri="{147F2762-F138-4A5C-976F-8EAC2B608ADB}">
              <a16:predDERef xmlns:a16="http://schemas.microsoft.com/office/drawing/2014/main" pred="{5E9356C3-BC01-47F1-9CA5-BD65594E6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63197</xdr:colOff>
      <xdr:row>7</xdr:row>
      <xdr:rowOff>106947</xdr:rowOff>
    </xdr:from>
    <xdr:to>
      <xdr:col>30</xdr:col>
      <xdr:colOff>300992</xdr:colOff>
      <xdr:row>24</xdr:row>
      <xdr:rowOff>69690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E571B68-69DA-404A-AE3A-B9EFC672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0047" y="1240422"/>
          <a:ext cx="7943520" cy="2744043"/>
        </a:xfrm>
        <a:prstGeom prst="rect">
          <a:avLst/>
        </a:prstGeom>
      </xdr:spPr>
    </xdr:pic>
    <xdr:clientData/>
  </xdr:twoCellAnchor>
  <xdr:twoCellAnchor editAs="oneCell">
    <xdr:from>
      <xdr:col>16</xdr:col>
      <xdr:colOff>213895</xdr:colOff>
      <xdr:row>26</xdr:row>
      <xdr:rowOff>26737</xdr:rowOff>
    </xdr:from>
    <xdr:to>
      <xdr:col>25</xdr:col>
      <xdr:colOff>123418</xdr:colOff>
      <xdr:row>30</xdr:row>
      <xdr:rowOff>122981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7B2DFF8-2927-4C03-B2BF-E9B656864F46}"/>
            </a:ext>
            <a:ext uri="{147F2762-F138-4A5C-976F-8EAC2B608ADB}">
              <a16:predDERef xmlns:a16="http://schemas.microsoft.com/office/drawing/2014/main" pred="{BE571B68-69DA-404A-AE3A-B9EFC672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01945" y="4265362"/>
          <a:ext cx="7062798" cy="858244"/>
        </a:xfrm>
        <a:prstGeom prst="rect">
          <a:avLst/>
        </a:prstGeom>
      </xdr:spPr>
    </xdr:pic>
    <xdr:clientData/>
  </xdr:twoCellAnchor>
  <xdr:twoCellAnchor>
    <xdr:from>
      <xdr:col>7</xdr:col>
      <xdr:colOff>904875</xdr:colOff>
      <xdr:row>37</xdr:row>
      <xdr:rowOff>114300</xdr:rowOff>
    </xdr:from>
    <xdr:to>
      <xdr:col>13</xdr:col>
      <xdr:colOff>333375</xdr:colOff>
      <xdr:row>62</xdr:row>
      <xdr:rowOff>85725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A2FFD73-2314-4277-BAEB-9ED2CC34D22E}"/>
            </a:ext>
            <a:ext uri="{147F2762-F138-4A5C-976F-8EAC2B608ADB}">
              <a16:predDERef xmlns:a16="http://schemas.microsoft.com/office/drawing/2014/main" pred="{97B2DFF8-2927-4C03-B2BF-E9B656864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63197</xdr:colOff>
      <xdr:row>7</xdr:row>
      <xdr:rowOff>106947</xdr:rowOff>
    </xdr:from>
    <xdr:to>
      <xdr:col>32</xdr:col>
      <xdr:colOff>81917</xdr:colOff>
      <xdr:row>24</xdr:row>
      <xdr:rowOff>69690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F6673-F545-2CBE-0962-F12D5D7E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00986" y="1323473"/>
          <a:ext cx="8013036" cy="2945739"/>
        </a:xfrm>
        <a:prstGeom prst="rect">
          <a:avLst/>
        </a:prstGeom>
      </xdr:spPr>
    </xdr:pic>
    <xdr:clientData/>
  </xdr:twoCellAnchor>
  <xdr:twoCellAnchor editAs="oneCell">
    <xdr:from>
      <xdr:col>16</xdr:col>
      <xdr:colOff>213895</xdr:colOff>
      <xdr:row>26</xdr:row>
      <xdr:rowOff>26737</xdr:rowOff>
    </xdr:from>
    <xdr:to>
      <xdr:col>27</xdr:col>
      <xdr:colOff>571093</xdr:colOff>
      <xdr:row>30</xdr:row>
      <xdr:rowOff>122981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F6DABF-76AC-6E70-12E7-262B9E05F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06842" y="4545263"/>
          <a:ext cx="7121619" cy="917567"/>
        </a:xfrm>
        <a:prstGeom prst="rect">
          <a:avLst/>
        </a:prstGeom>
      </xdr:spPr>
    </xdr:pic>
    <xdr:clientData/>
  </xdr:twoCellAnchor>
  <xdr:twoCellAnchor>
    <xdr:from>
      <xdr:col>7</xdr:col>
      <xdr:colOff>523875</xdr:colOff>
      <xdr:row>36</xdr:row>
      <xdr:rowOff>95250</xdr:rowOff>
    </xdr:from>
    <xdr:to>
      <xdr:col>12</xdr:col>
      <xdr:colOff>1028700</xdr:colOff>
      <xdr:row>61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C5DF8E57-288B-CE20-F262-8F60CB19C046}"/>
            </a:ext>
            <a:ext uri="{147F2762-F138-4A5C-976F-8EAC2B608ADB}">
              <a16:predDERef xmlns:a16="http://schemas.microsoft.com/office/drawing/2014/main" pred="{A8F6DABF-76AC-6E70-12E7-262B9E05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971550</xdr:colOff>
      <xdr:row>30</xdr:row>
      <xdr:rowOff>9525</xdr:rowOff>
    </xdr:from>
    <xdr:to>
      <xdr:col>13</xdr:col>
      <xdr:colOff>2009775</xdr:colOff>
      <xdr:row>47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E7576F-47F2-021B-A239-B944D0C2D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8BD04-76B5-4AF8-98C3-DF0AB576E1D5}" name="Table1" displayName="Table1" ref="A1:G74" totalsRowShown="0" headerRowDxfId="55" dataDxfId="54" headerRowCellStyle="Normal 2" dataCellStyle="Normal 2">
  <autoFilter ref="A1:G74" xr:uid="{5878BD04-76B5-4AF8-98C3-DF0AB576E1D5}"/>
  <tableColumns count="7">
    <tableColumn id="1" xr3:uid="{C6BD3C6A-C519-4C4C-BBDF-8D1A3D0A8C7A}" name="ADDDF_cash-flow_Annual_As_Originally_Reported" dataDxfId="53" dataCellStyle="Normal 2"/>
    <tableColumn id="2" xr3:uid="{729DD16D-43B3-4C7E-A5FB-F79C76BC8783}" name="2019" dataDxfId="52" dataCellStyle="Normal 2"/>
    <tableColumn id="3" xr3:uid="{77F850A7-E456-489C-9016-C57A81C2C786}" name="2020" dataDxfId="51" dataCellStyle="Normal 2"/>
    <tableColumn id="4" xr3:uid="{6F44042F-2B4D-4E05-BFC4-C633E7D64B24}" name="2021" dataDxfId="50" dataCellStyle="Normal 2"/>
    <tableColumn id="5" xr3:uid="{05429219-356C-4E26-9D78-698AD25C3537}" name="2022" dataDxfId="49" dataCellStyle="Normal 2"/>
    <tableColumn id="6" xr3:uid="{AFA18FEB-EA38-42D4-9D73-AF6BA33C49EE}" name="2023" dataDxfId="48" dataCellStyle="Normal 2"/>
    <tableColumn id="7" xr3:uid="{A69F2DDD-0BC0-46BC-9546-F047BB908551}" name="TTM" dataDxfId="47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8EDBCC-0537-45C0-9677-EE9C3BCD7245}" name="Table4" displayName="Table4" ref="B3:G15" totalsRowShown="0" headerRowDxfId="46">
  <autoFilter ref="B3:G15" xr:uid="{D38EDBCC-0537-45C0-9677-EE9C3BCD7245}"/>
  <tableColumns count="6">
    <tableColumn id="1" xr3:uid="{A2C571FE-FDF5-4293-B88A-1A7E4EAE7D02}" name="Ratio"/>
    <tableColumn id="2" xr3:uid="{4A48EEAD-939B-4454-A421-7E0DB3783785}" name="2019"/>
    <tableColumn id="3" xr3:uid="{C31E2971-827C-469A-8435-75D855E3BF08}" name="2020"/>
    <tableColumn id="4" xr3:uid="{DF32094E-F1EB-45F3-BB1C-F1CE75C79265}" name="2021"/>
    <tableColumn id="5" xr3:uid="{33E446E2-C137-4D67-851F-BD78B6B180C9}" name="2022"/>
    <tableColumn id="6" xr3:uid="{923C37B0-0CB2-4192-A7C9-2A83CD8FF5C1}" name="20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8B4169-12D2-4FF3-AB70-57994BF93A0B}" name="Table6" displayName="Table6" ref="B21:G25" totalsRowShown="0" headerRowDxfId="45" dataDxfId="44">
  <autoFilter ref="B21:G25" xr:uid="{158B4169-12D2-4FF3-AB70-57994BF93A0B}"/>
  <tableColumns count="6">
    <tableColumn id="1" xr3:uid="{D3840545-0175-4941-842D-38CE95C158BF}" name="Comapany Name" dataDxfId="43"/>
    <tableColumn id="2" xr3:uid="{11C6419D-EF1E-4FBF-BBA2-0846D185F245}" name="2019" dataDxfId="42"/>
    <tableColumn id="3" xr3:uid="{0EF37AE6-C49A-49CE-8483-6FBBF66DC983}" name="2020" dataDxfId="41"/>
    <tableColumn id="4" xr3:uid="{0DF8B717-325C-4CE7-A8A9-53FDE51F2F3C}" name="2021" dataDxfId="40"/>
    <tableColumn id="5" xr3:uid="{C311FB82-A770-43A9-AA30-EE43F3B6B632}" name="2022" dataDxfId="39"/>
    <tableColumn id="6" xr3:uid="{F0945E9A-A991-4724-BFCD-4616F5E3B2A4}" name="2023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EDC56A-FEC8-4C3A-BC1D-6EF7B93C916D}" name="Table8" displayName="Table8" ref="M20:O24" totalsRowShown="0" headerRowDxfId="37" tableBorderDxfId="36">
  <autoFilter ref="M20:O24" xr:uid="{FAEDC56A-FEC8-4C3A-BC1D-6EF7B93C916D}"/>
  <tableColumns count="3">
    <tableColumn id="1" xr3:uid="{B9234D60-3B7B-4C32-B9A9-20EC1F130B59}" name="Metrics" dataDxfId="35"/>
    <tableColumn id="2" xr3:uid="{837CF730-15C2-43E2-9533-336EC8624179}" name="Adidas" dataDxfId="34"/>
    <tableColumn id="3" xr3:uid="{4F9BEB5F-201B-4F31-8FC9-EC711C8E1B3D}" name="All Companies Combained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E0C048-5431-4DEE-BAF2-3FEBDD79E496}" name="Table9" displayName="Table9" ref="D41:G51" totalsRowShown="0" headerRowDxfId="32" dataDxfId="31">
  <autoFilter ref="D41:G51" xr:uid="{6DE0C048-5431-4DEE-BAF2-3FEBDD79E496}"/>
  <tableColumns count="4">
    <tableColumn id="1" xr3:uid="{D1423363-49B2-4466-AE5D-2D7047CE942A}" name="Debt to Capital Ratio" dataDxfId="30"/>
    <tableColumn id="2" xr3:uid="{850A11EC-631A-4FEA-BCC2-055BA11C70F4}" name="Cost of Equity" dataDxfId="29">
      <calculatedColumnFormula>H13</calculatedColumnFormula>
    </tableColumn>
    <tableColumn id="3" xr3:uid="{3B2A4123-6F18-47E2-95BB-502B96E20EC1}" name="After-tax Cost of Debt" dataDxfId="28">
      <calculatedColumnFormula>M27</calculatedColumnFormula>
    </tableColumn>
    <tableColumn id="4" xr3:uid="{92F68611-9D44-4442-B7FF-0FE901C04072}" name="Cost of Capital" dataDxfId="27">
      <calculatedColumnFormula>((E42*(100%-D42))+(F42*D42))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9B279-BDC7-4CD7-B49F-A1E437D6B859}" name="Table2" displayName="Table2" ref="B3:G7" totalsRowShown="0" headerRowDxfId="26" dataDxfId="25">
  <autoFilter ref="B3:G7" xr:uid="{5059B279-BDC7-4CD7-B49F-A1E437D6B859}"/>
  <tableColumns count="6">
    <tableColumn id="1" xr3:uid="{8EDDA116-14C6-4719-977D-385B0252FD04}" name="Comapany Name" dataDxfId="24"/>
    <tableColumn id="2" xr3:uid="{6A7151B3-FC6C-4D99-94F3-0C921231CA59}" name="2019" dataDxfId="23"/>
    <tableColumn id="3" xr3:uid="{8EB53D2E-AE00-47F7-A38B-3DE081BAFB01}" name="2020" dataDxfId="22"/>
    <tableColumn id="4" xr3:uid="{4092936A-357B-4666-867E-40A87A0243E3}" name="2021" dataDxfId="21"/>
    <tableColumn id="5" xr3:uid="{DB5400D2-F1BA-49D2-B480-CCE02E2D844B}" name="2022" dataDxfId="20"/>
    <tableColumn id="6" xr3:uid="{0E5A6D09-3688-43DB-AE0F-20595BA2311D}" name="2023" data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8516B-6682-436A-8BFB-66AB05967B28}" name="Table3" displayName="Table3" ref="B13:G17" totalsRowShown="0" headerRowDxfId="18" dataDxfId="17">
  <autoFilter ref="B13:G17" xr:uid="{6328516B-6682-436A-8BFB-66AB05967B28}"/>
  <tableColumns count="6">
    <tableColumn id="1" xr3:uid="{319CC8DD-996F-466E-B0A1-4D23B09335AA}" name="Comapany Name" dataDxfId="16"/>
    <tableColumn id="2" xr3:uid="{BCCEF103-072A-44B9-829A-396D67554B69}" name="2019" dataDxfId="15"/>
    <tableColumn id="3" xr3:uid="{E2623ACF-862A-4ADD-AC11-A141AD3B3FD6}" name="2020" dataDxfId="14"/>
    <tableColumn id="4" xr3:uid="{1792F4E0-48FE-4F42-A405-647FD68135B4}" name="2021" dataDxfId="13"/>
    <tableColumn id="5" xr3:uid="{2E5B2B59-9EAA-4DDE-AA6D-6ABC6DA460D7}" name="2022" dataDxfId="12"/>
    <tableColumn id="6" xr3:uid="{61494C4D-12A2-4728-908E-467C7962B4BD}" name="2023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7738CC-BE77-41AE-9D5D-DFE8204A0373}" name="Table5" displayName="Table5" ref="B34:H38" totalsRowShown="0" headerRowDxfId="10">
  <autoFilter ref="B34:H38" xr:uid="{6F7738CC-BE77-41AE-9D5D-DFE8204A0373}"/>
  <tableColumns count="7">
    <tableColumn id="1" xr3:uid="{F0DCBD94-A1C6-4DCA-97A5-4DE0C6B6887C}" name="Comapany Name" dataDxfId="9"/>
    <tableColumn id="2" xr3:uid="{DE3B1EBD-AC8F-43E7-BA03-627C495BF858}" name="2019"/>
    <tableColumn id="3" xr3:uid="{2E225937-EAFD-4FF2-91C3-FC73F83D5382}" name="2020"/>
    <tableColumn id="4" xr3:uid="{DC5249B2-84F0-409F-9D34-5B495CF59C31}" name="2021"/>
    <tableColumn id="5" xr3:uid="{6F4F1752-1F5B-4930-8FEA-5FBFCBEA5D15}" name="2022"/>
    <tableColumn id="6" xr3:uid="{B78828E7-A5D7-4CF4-95DC-1559D83F0025}" name="2023"/>
    <tableColumn id="7" xr3:uid="{C968B9A4-F706-4A12-830A-288A5DC9E240}" name="Total" dataDxfId="8">
      <calculatedColumnFormula>SUM(Table5[[#This Row],[2019]:[2023]])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E9189A-A064-41C0-B339-81388B311E74}" name="Table7" displayName="Table7" ref="B22:G26" totalsRowShown="0" headerRowDxfId="7" dataDxfId="6">
  <autoFilter ref="B22:G26" xr:uid="{1DE9189A-A064-41C0-B339-81388B311E74}"/>
  <tableColumns count="6">
    <tableColumn id="1" xr3:uid="{A2A5B0A7-E77D-4ADF-979E-AFDDF249F865}" name="Comapany Name" dataDxfId="5"/>
    <tableColumn id="2" xr3:uid="{23F1AB35-EDAE-4A97-973F-59250929A72D}" name="2019" dataDxfId="4">
      <calculatedColumnFormula>C4/K23</calculatedColumnFormula>
    </tableColumn>
    <tableColumn id="3" xr3:uid="{A221F47A-D488-4D4C-BA51-810574C54352}" name="2020" dataDxfId="3">
      <calculatedColumnFormula>D4/L23</calculatedColumnFormula>
    </tableColumn>
    <tableColumn id="4" xr3:uid="{08E2A433-CE74-4A67-AB98-A88CEC771B5B}" name="2021" dataDxfId="2">
      <calculatedColumnFormula>E4/M23</calculatedColumnFormula>
    </tableColumn>
    <tableColumn id="5" xr3:uid="{80554039-93F0-49E8-8FE3-FF24C15A2811}" name="2022" dataDxfId="1">
      <calculatedColumnFormula>F4/N23</calculatedColumnFormula>
    </tableColumn>
    <tableColumn id="6" xr3:uid="{F541F742-7081-4F2B-BF2E-A2EB3873A924}" name="2023" dataDxfId="0">
      <calculatedColumnFormula>G4/O23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oomberg.com/markets/rates-bonds/government-bonds/germany" TargetMode="External"/><Relationship Id="rId2" Type="http://schemas.openxmlformats.org/officeDocument/2006/relationships/hyperlink" Target="https://www.adidas-group.com/en/investors/bonds-and-ratings/ratings" TargetMode="External"/><Relationship Id="rId1" Type="http://schemas.openxmlformats.org/officeDocument/2006/relationships/hyperlink" Target="https://report.adidas-group.com/2023/en/group-management-report-financial-review/business-performance/treasury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ista.com/statistics/664840/average-market-risk-premium-usa" TargetMode="External"/><Relationship Id="rId2" Type="http://schemas.openxmlformats.org/officeDocument/2006/relationships/hyperlink" Target="https://taxfoundation.org/data/all/state/state-corporate-income-tax-rates-brackets-2024/" TargetMode="External"/><Relationship Id="rId1" Type="http://schemas.openxmlformats.org/officeDocument/2006/relationships/hyperlink" Target="https://finance.yahoo.com/quote/ADS.DE/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bloomberg.com/markets/rates-bonds/government-bonds/germany" TargetMode="External"/><Relationship Id="rId4" Type="http://schemas.openxmlformats.org/officeDocument/2006/relationships/hyperlink" Target="https://www.statista.com/statistics/698047/yield-on-10y-us-treasury-bond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ista.com/statistics/698047/yield-on-10y-us-treasury-bond/" TargetMode="External"/><Relationship Id="rId2" Type="http://schemas.openxmlformats.org/officeDocument/2006/relationships/hyperlink" Target="https://finance.yahoo.com/quote/ADS.DE/history/?period1=1703030400&amp;period2=1704412800" TargetMode="External"/><Relationship Id="rId1" Type="http://schemas.openxmlformats.org/officeDocument/2006/relationships/hyperlink" Target="https://finance.yahoo.com/quote/ADS.DE/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taxfoundation.org/data/all/state/state-corporate-income-tax-rates-brackets-2024/" TargetMode="External"/><Relationship Id="rId4" Type="http://schemas.openxmlformats.org/officeDocument/2006/relationships/hyperlink" Target="https://www.statista.com/statistics/664825/average-market-risk-premium-germany-europe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PBYI/" TargetMode="External"/><Relationship Id="rId2" Type="http://schemas.openxmlformats.org/officeDocument/2006/relationships/hyperlink" Target="https://www.statista.com/statistics/664825/average-market-risk-premium-germany-europe/" TargetMode="External"/><Relationship Id="rId1" Type="http://schemas.openxmlformats.org/officeDocument/2006/relationships/hyperlink" Target="https://www.spglobal.com/spdji/en/documents/additional-material/withholding-tax-index-values.pdf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s://www.bloomberg.com/markets/rates-bonds/government-bonds/german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spglobal.com/spdji/en/documents/additional-material/withholding-tax-index-values.pdf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finance.yahoo.com/quote/ADS.DE/history/?period1=1703030400&amp;period2=1704412800" TargetMode="External"/><Relationship Id="rId1" Type="http://schemas.openxmlformats.org/officeDocument/2006/relationships/hyperlink" Target="https://finance.yahoo.com/quote/ADS.DE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5.xml"/><Relationship Id="rId4" Type="http://schemas.openxmlformats.org/officeDocument/2006/relationships/hyperlink" Target="https://www.statista.com/statistics/664825/average-market-risk-premium-germany-europe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hyperlink" Target="https://finance.yahoo.com/quote/PUM.DE/history/?period1=1546732800&amp;period2=1736196322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finance.yahoo.com/quote/ADS.DE/history/?period1=1546905600&amp;period2=1736356809" TargetMode="External"/><Relationship Id="rId1" Type="http://schemas.openxmlformats.org/officeDocument/2006/relationships/hyperlink" Target="https://finance.yahoo.com/quote/UAA/history/?period1=1546732800&amp;period2=1736196566" TargetMode="External"/><Relationship Id="rId6" Type="http://schemas.openxmlformats.org/officeDocument/2006/relationships/table" Target="../tables/table6.xml"/><Relationship Id="rId5" Type="http://schemas.openxmlformats.org/officeDocument/2006/relationships/drawing" Target="../drawings/drawing6.xml"/><Relationship Id="rId4" Type="http://schemas.openxmlformats.org/officeDocument/2006/relationships/hyperlink" Target="https://finance.yahoo.com/quote/PUM.DE/history/?period1=1546732800&amp;period2=1736196322" TargetMode="Externa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D1F2-DA84-4E50-BAF9-4DA00024BADB}">
  <dimension ref="A1:J174"/>
  <sheetViews>
    <sheetView tabSelected="1" topLeftCell="A11" zoomScale="220" zoomScaleNormal="220" workbookViewId="0">
      <selection activeCell="A11" sqref="A11"/>
    </sheetView>
  </sheetViews>
  <sheetFormatPr defaultRowHeight="12.75" x14ac:dyDescent="0.2"/>
  <cols>
    <col min="1" max="1" width="99" bestFit="1" customWidth="1"/>
    <col min="2" max="3" width="15.140625" customWidth="1"/>
    <col min="4" max="4" width="15.28515625" customWidth="1"/>
    <col min="5" max="5" width="15.140625" customWidth="1"/>
    <col min="6" max="6" width="19.5703125" customWidth="1"/>
    <col min="10" max="10" width="25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20680000000</v>
      </c>
      <c r="C2" s="2">
        <v>21053000000</v>
      </c>
      <c r="D2" s="2">
        <v>22137000000</v>
      </c>
      <c r="E2" s="2">
        <v>20296000000</v>
      </c>
      <c r="F2" s="2">
        <v>18020000000</v>
      </c>
    </row>
    <row r="3" spans="1:6" x14ac:dyDescent="0.2">
      <c r="A3" t="s">
        <v>7</v>
      </c>
      <c r="B3" s="2">
        <v>10934000000</v>
      </c>
      <c r="C3" s="2">
        <v>12154000000</v>
      </c>
      <c r="D3" s="2">
        <v>13944000000</v>
      </c>
      <c r="E3" s="2">
        <v>11732000000</v>
      </c>
      <c r="F3" s="2">
        <v>9809000000</v>
      </c>
    </row>
    <row r="4" spans="1:6" x14ac:dyDescent="0.2">
      <c r="A4" t="s">
        <v>8</v>
      </c>
      <c r="B4" s="2">
        <v>2662000000</v>
      </c>
      <c r="C4" s="2">
        <v>4239000000</v>
      </c>
      <c r="D4" s="2">
        <v>3937000000</v>
      </c>
      <c r="E4" s="2">
        <v>966000000</v>
      </c>
      <c r="F4" s="2">
        <v>2220000000</v>
      </c>
    </row>
    <row r="5" spans="1:6" x14ac:dyDescent="0.2">
      <c r="A5" t="s">
        <v>9</v>
      </c>
      <c r="B5" s="2">
        <v>2220000000</v>
      </c>
      <c r="C5" s="2">
        <v>3994000000</v>
      </c>
      <c r="D5" s="2">
        <v>3828000000</v>
      </c>
      <c r="E5" s="2">
        <v>798000000</v>
      </c>
      <c r="F5" s="2">
        <v>1431000000</v>
      </c>
    </row>
    <row r="6" spans="1:6" x14ac:dyDescent="0.2">
      <c r="A6" t="s">
        <v>10</v>
      </c>
      <c r="B6" s="2">
        <v>442000000</v>
      </c>
      <c r="C6" s="2">
        <v>245000000</v>
      </c>
      <c r="D6" s="2">
        <v>109000000</v>
      </c>
      <c r="E6" s="2">
        <v>168000000</v>
      </c>
      <c r="F6" s="2">
        <v>789000000</v>
      </c>
    </row>
    <row r="7" spans="1:6" x14ac:dyDescent="0.2">
      <c r="A7" t="s">
        <v>11</v>
      </c>
      <c r="B7" s="2">
        <v>442000000</v>
      </c>
      <c r="C7" s="2">
        <v>245000000</v>
      </c>
      <c r="D7" s="2">
        <v>109000000</v>
      </c>
      <c r="E7" s="2">
        <v>168000000</v>
      </c>
      <c r="F7" s="2">
        <v>789000000</v>
      </c>
    </row>
    <row r="8" spans="1:6" x14ac:dyDescent="0.2">
      <c r="A8" t="s">
        <v>12</v>
      </c>
      <c r="B8" s="2">
        <v>4085000000</v>
      </c>
      <c r="C8" s="2">
        <v>4397000000</v>
      </c>
      <c r="D8" s="2">
        <v>4009000000</v>
      </c>
      <c r="E8" s="2">
        <v>5973000000</v>
      </c>
      <c r="F8" s="2">
        <v>4525000000</v>
      </c>
    </row>
    <row r="9" spans="1:6" x14ac:dyDescent="0.2">
      <c r="A9" t="s">
        <v>13</v>
      </c>
      <c r="B9" s="2">
        <v>6000000</v>
      </c>
      <c r="C9" s="2">
        <v>8000000</v>
      </c>
      <c r="D9" s="2">
        <v>7000000</v>
      </c>
      <c r="E9" s="2">
        <v>9000000</v>
      </c>
      <c r="F9" s="2">
        <v>8000000</v>
      </c>
    </row>
    <row r="10" spans="1:6" x14ac:dyDescent="0.2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t="s">
        <v>15</v>
      </c>
      <c r="B11" s="2">
        <v>4079000000</v>
      </c>
      <c r="C11" s="2">
        <v>4389000000</v>
      </c>
      <c r="D11" s="2">
        <v>4002000000</v>
      </c>
      <c r="E11" s="2">
        <v>5964000000</v>
      </c>
      <c r="F11" s="2">
        <v>4516000000</v>
      </c>
    </row>
    <row r="12" spans="1:6" x14ac:dyDescent="0.2">
      <c r="A12" t="s">
        <v>16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</row>
    <row r="13" spans="1:6" x14ac:dyDescent="0.2">
      <c r="A13" t="s">
        <v>18</v>
      </c>
      <c r="B13" s="2">
        <v>3278000000</v>
      </c>
      <c r="C13" s="2">
        <v>2713000000</v>
      </c>
      <c r="D13" s="2">
        <v>3017000000</v>
      </c>
      <c r="E13" s="2">
        <v>3605000000</v>
      </c>
      <c r="F13" s="2">
        <v>2062000000</v>
      </c>
    </row>
    <row r="14" spans="1:6" x14ac:dyDescent="0.2">
      <c r="A14" t="s">
        <v>19</v>
      </c>
      <c r="B14" s="2">
        <v>2625000000</v>
      </c>
      <c r="C14" s="2">
        <v>1952000000</v>
      </c>
      <c r="D14" s="2">
        <v>2175000000</v>
      </c>
      <c r="E14" s="2">
        <v>2529000000</v>
      </c>
      <c r="F14" s="2">
        <v>1906000000</v>
      </c>
    </row>
    <row r="15" spans="1:6" x14ac:dyDescent="0.2">
      <c r="A15" t="s">
        <v>20</v>
      </c>
      <c r="B15" s="2">
        <v>2814000000</v>
      </c>
      <c r="C15" s="2">
        <v>2219000000</v>
      </c>
      <c r="D15" s="2">
        <v>2383000000</v>
      </c>
      <c r="E15" s="2">
        <v>2759000000</v>
      </c>
      <c r="F15" s="2">
        <v>2135000000</v>
      </c>
    </row>
    <row r="16" spans="1:6" x14ac:dyDescent="0.2">
      <c r="A16" t="s">
        <v>21</v>
      </c>
      <c r="B16" s="2">
        <v>-189000000</v>
      </c>
      <c r="C16" s="2">
        <v>-267000000</v>
      </c>
      <c r="D16" s="2">
        <v>-208000000</v>
      </c>
      <c r="E16" s="2">
        <v>-230000000</v>
      </c>
      <c r="F16" s="2">
        <v>-229000000</v>
      </c>
    </row>
    <row r="17" spans="1:6" x14ac:dyDescent="0.2">
      <c r="A17" t="s">
        <v>22</v>
      </c>
      <c r="B17" s="2">
        <v>437000000</v>
      </c>
      <c r="C17" s="2">
        <v>510000000</v>
      </c>
      <c r="D17" s="2">
        <v>521000000</v>
      </c>
      <c r="E17" s="2">
        <v>734000000</v>
      </c>
      <c r="F17" s="2">
        <v>156000000</v>
      </c>
    </row>
    <row r="18" spans="1:6" x14ac:dyDescent="0.2">
      <c r="A18" t="s">
        <v>23</v>
      </c>
      <c r="B18" t="s">
        <v>17</v>
      </c>
      <c r="C18" s="2">
        <v>6000000</v>
      </c>
      <c r="D18" s="2">
        <v>12000000</v>
      </c>
      <c r="E18" s="2">
        <v>0</v>
      </c>
      <c r="F18" t="s">
        <v>17</v>
      </c>
    </row>
    <row r="19" spans="1:6" x14ac:dyDescent="0.2">
      <c r="A19" t="s">
        <v>24</v>
      </c>
      <c r="B19" s="2">
        <v>17000000</v>
      </c>
      <c r="C19" s="2">
        <v>16000000</v>
      </c>
      <c r="D19" s="2">
        <v>46000000</v>
      </c>
      <c r="E19" s="2">
        <v>62000000</v>
      </c>
      <c r="F19" t="s">
        <v>17</v>
      </c>
    </row>
    <row r="20" spans="1:6" x14ac:dyDescent="0.2">
      <c r="A20" t="s">
        <v>25</v>
      </c>
      <c r="B20" s="2">
        <v>199000000</v>
      </c>
      <c r="C20" s="2">
        <v>229000000</v>
      </c>
      <c r="D20" s="2">
        <v>263000000</v>
      </c>
      <c r="E20" s="2">
        <v>280000000</v>
      </c>
      <c r="F20" t="s">
        <v>17</v>
      </c>
    </row>
    <row r="21" spans="1:6" x14ac:dyDescent="0.2">
      <c r="A21" t="s">
        <v>26</v>
      </c>
      <c r="B21" s="2">
        <v>425000000</v>
      </c>
      <c r="C21" s="2">
        <v>385000000</v>
      </c>
      <c r="D21" s="2">
        <v>356000000</v>
      </c>
      <c r="E21" s="2">
        <v>420000000</v>
      </c>
      <c r="F21" s="2">
        <v>1003000000</v>
      </c>
    </row>
    <row r="22" spans="1:6" x14ac:dyDescent="0.2">
      <c r="A22" t="s">
        <v>27</v>
      </c>
      <c r="B22" s="2">
        <v>166000000</v>
      </c>
      <c r="C22" s="2">
        <v>185000000</v>
      </c>
      <c r="D22" s="2">
        <v>273000000</v>
      </c>
      <c r="E22" s="2">
        <v>232000000</v>
      </c>
      <c r="F22" t="s">
        <v>17</v>
      </c>
    </row>
    <row r="23" spans="1:6" x14ac:dyDescent="0.2">
      <c r="A23" t="s">
        <v>28</v>
      </c>
      <c r="B23" s="2">
        <v>318000000</v>
      </c>
      <c r="C23" s="2">
        <v>240000000</v>
      </c>
      <c r="D23" s="2">
        <v>318000000</v>
      </c>
      <c r="E23" s="2">
        <v>296000000</v>
      </c>
      <c r="F23" t="s">
        <v>17</v>
      </c>
    </row>
    <row r="24" spans="1:6" x14ac:dyDescent="0.2">
      <c r="A24" t="s">
        <v>29</v>
      </c>
      <c r="B24" t="s">
        <v>17</v>
      </c>
      <c r="C24" t="s">
        <v>17</v>
      </c>
      <c r="D24" t="s">
        <v>17</v>
      </c>
      <c r="E24" s="2">
        <v>241000000</v>
      </c>
      <c r="F24" t="s">
        <v>17</v>
      </c>
    </row>
    <row r="25" spans="1:6" x14ac:dyDescent="0.2">
      <c r="A25" t="s">
        <v>30</v>
      </c>
      <c r="B25" t="s">
        <v>17</v>
      </c>
      <c r="C25" s="2">
        <v>0</v>
      </c>
      <c r="D25" s="2">
        <v>2033000000</v>
      </c>
      <c r="E25" s="2">
        <v>0</v>
      </c>
      <c r="F25" t="s">
        <v>17</v>
      </c>
    </row>
    <row r="26" spans="1:6" x14ac:dyDescent="0.2">
      <c r="A26" t="s">
        <v>31</v>
      </c>
      <c r="B26" s="2">
        <v>9746000000</v>
      </c>
      <c r="C26" s="2">
        <v>8899000000</v>
      </c>
      <c r="D26" s="2">
        <v>8193000000</v>
      </c>
      <c r="E26" s="2">
        <v>8563000000</v>
      </c>
      <c r="F26" s="2">
        <v>8211000000</v>
      </c>
    </row>
    <row r="27" spans="1:6" x14ac:dyDescent="0.2">
      <c r="A27" t="s">
        <v>32</v>
      </c>
      <c r="B27" s="2">
        <v>5311000000</v>
      </c>
      <c r="C27" s="2">
        <v>4587000000</v>
      </c>
      <c r="D27" s="2">
        <v>4825000000</v>
      </c>
      <c r="E27" s="2">
        <v>4943000000</v>
      </c>
      <c r="F27" s="2">
        <v>4405000000</v>
      </c>
    </row>
    <row r="28" spans="1:6" x14ac:dyDescent="0.2">
      <c r="A28" t="s">
        <v>33</v>
      </c>
      <c r="B28" s="2">
        <v>7336000000</v>
      </c>
      <c r="C28" s="2">
        <v>6756000000</v>
      </c>
      <c r="D28" s="2">
        <v>7141000000</v>
      </c>
      <c r="E28" s="2">
        <v>7571000000</v>
      </c>
      <c r="F28" s="2">
        <v>7112000000</v>
      </c>
    </row>
    <row r="29" spans="1:6" x14ac:dyDescent="0.2">
      <c r="A29" t="s">
        <v>34</v>
      </c>
      <c r="B29" s="2">
        <v>4627000000</v>
      </c>
      <c r="C29" s="2">
        <v>4169000000</v>
      </c>
      <c r="D29" s="2">
        <v>4586000000</v>
      </c>
      <c r="E29" s="2">
        <v>4890000000</v>
      </c>
      <c r="F29" s="2">
        <v>4495000000</v>
      </c>
    </row>
    <row r="30" spans="1:6" x14ac:dyDescent="0.2">
      <c r="A30" t="s">
        <v>35</v>
      </c>
      <c r="B30" s="2">
        <v>1842000000</v>
      </c>
      <c r="C30" s="2">
        <v>1852000000</v>
      </c>
      <c r="D30" s="2">
        <v>2093000000</v>
      </c>
      <c r="E30" s="2">
        <v>2290000000</v>
      </c>
      <c r="F30" s="2">
        <v>2300000000</v>
      </c>
    </row>
    <row r="31" spans="1:6" x14ac:dyDescent="0.2">
      <c r="A31" t="s">
        <v>36</v>
      </c>
      <c r="B31" s="2">
        <v>2785000000</v>
      </c>
      <c r="C31" s="2">
        <v>2317000000</v>
      </c>
      <c r="D31" s="2">
        <v>2493000000</v>
      </c>
      <c r="E31" s="2">
        <v>2600000000</v>
      </c>
      <c r="F31" s="2">
        <v>2195000000</v>
      </c>
    </row>
    <row r="32" spans="1:6" x14ac:dyDescent="0.2">
      <c r="A32" t="s">
        <v>37</v>
      </c>
      <c r="B32" s="2">
        <v>221000000</v>
      </c>
      <c r="C32" s="2">
        <v>258000000</v>
      </c>
      <c r="D32" s="2">
        <v>212000000</v>
      </c>
      <c r="E32" s="2">
        <v>230000000</v>
      </c>
      <c r="F32" s="2">
        <v>156000000</v>
      </c>
    </row>
    <row r="33" spans="1:6" x14ac:dyDescent="0.2">
      <c r="A33" t="s">
        <v>38</v>
      </c>
      <c r="B33" s="2">
        <v>146000000</v>
      </c>
      <c r="C33" s="2">
        <v>113000000</v>
      </c>
      <c r="D33" s="2">
        <v>76000000</v>
      </c>
      <c r="E33" s="2">
        <v>65000000</v>
      </c>
      <c r="F33" s="2">
        <v>53000000</v>
      </c>
    </row>
    <row r="34" spans="1:6" x14ac:dyDescent="0.2">
      <c r="A34" t="s">
        <v>39</v>
      </c>
      <c r="B34" s="2">
        <v>2342000000</v>
      </c>
      <c r="C34" s="2">
        <v>2216000000</v>
      </c>
      <c r="D34" s="2">
        <v>2267000000</v>
      </c>
      <c r="E34" s="2">
        <v>2386000000</v>
      </c>
      <c r="F34" s="2">
        <v>2408000000</v>
      </c>
    </row>
    <row r="35" spans="1:6" x14ac:dyDescent="0.2">
      <c r="A35" t="s">
        <v>40</v>
      </c>
      <c r="B35" s="2">
        <v>-2025000000</v>
      </c>
      <c r="C35" s="2">
        <v>-2169000000</v>
      </c>
      <c r="D35" s="2">
        <v>-2316000000</v>
      </c>
      <c r="E35" s="2">
        <v>-2628000000</v>
      </c>
      <c r="F35" s="2">
        <v>-2707000000</v>
      </c>
    </row>
    <row r="36" spans="1:6" x14ac:dyDescent="0.2">
      <c r="A36" t="s">
        <v>41</v>
      </c>
      <c r="B36" s="2">
        <v>-2025000000</v>
      </c>
      <c r="C36" s="2">
        <v>-2169000000</v>
      </c>
      <c r="D36" s="2">
        <v>-2316000000</v>
      </c>
      <c r="E36" s="2">
        <v>-2628000000</v>
      </c>
      <c r="F36" s="2">
        <v>-2707000000</v>
      </c>
    </row>
    <row r="37" spans="1:6" x14ac:dyDescent="0.2">
      <c r="A37" t="s">
        <v>42</v>
      </c>
      <c r="B37" s="2">
        <v>-520000000</v>
      </c>
      <c r="C37" s="2">
        <v>-620000000</v>
      </c>
      <c r="D37" s="2">
        <v>-704000000</v>
      </c>
      <c r="E37" s="2">
        <v>-849000000</v>
      </c>
      <c r="F37" s="2">
        <v>-922000000</v>
      </c>
    </row>
    <row r="38" spans="1:6" x14ac:dyDescent="0.2">
      <c r="A38" t="s">
        <v>43</v>
      </c>
      <c r="B38" s="2">
        <v>-520000000</v>
      </c>
      <c r="C38" s="2">
        <v>-620000000</v>
      </c>
      <c r="D38" s="2">
        <v>-704000000</v>
      </c>
      <c r="E38" s="2">
        <v>-849000000</v>
      </c>
      <c r="F38" s="2">
        <v>-922000000</v>
      </c>
    </row>
    <row r="39" spans="1:6" x14ac:dyDescent="0.2">
      <c r="A39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t="s">
        <v>45</v>
      </c>
      <c r="B40" s="2">
        <v>-1505000000</v>
      </c>
      <c r="C40" s="2">
        <v>-1549000000</v>
      </c>
      <c r="D40" s="2">
        <v>-1612000000</v>
      </c>
      <c r="E40" s="2">
        <v>-1779000000</v>
      </c>
      <c r="F40" s="2">
        <v>-1785000000</v>
      </c>
    </row>
    <row r="41" spans="1:6" x14ac:dyDescent="0.2">
      <c r="A41" t="s">
        <v>46</v>
      </c>
      <c r="B41" s="2">
        <v>2726000000</v>
      </c>
      <c r="C41" s="2">
        <v>2461000000</v>
      </c>
      <c r="D41" s="2">
        <v>1580000000</v>
      </c>
      <c r="E41" s="2">
        <v>1689000000</v>
      </c>
      <c r="F41" s="2">
        <v>1680000000</v>
      </c>
    </row>
    <row r="42" spans="1:6" x14ac:dyDescent="0.2">
      <c r="A42" t="s">
        <v>47</v>
      </c>
      <c r="B42" s="2">
        <v>4462000000</v>
      </c>
      <c r="C42" s="2">
        <v>4238000000</v>
      </c>
      <c r="D42" s="2">
        <v>2885000000</v>
      </c>
      <c r="E42" s="2">
        <v>3105000000</v>
      </c>
      <c r="F42" s="2">
        <v>2089000000</v>
      </c>
    </row>
    <row r="43" spans="1:6" x14ac:dyDescent="0.2">
      <c r="A43" t="s">
        <v>48</v>
      </c>
      <c r="B43" s="2">
        <v>1659000000</v>
      </c>
      <c r="C43" s="2">
        <v>1584000000</v>
      </c>
      <c r="D43" s="2">
        <v>1630000000</v>
      </c>
      <c r="E43" s="2">
        <v>1680000000</v>
      </c>
      <c r="F43" s="2">
        <v>1647000000</v>
      </c>
    </row>
    <row r="44" spans="1:6" x14ac:dyDescent="0.2">
      <c r="A44" t="s">
        <v>49</v>
      </c>
      <c r="B44" s="2">
        <v>2803000000</v>
      </c>
      <c r="C44" s="2">
        <v>2654000000</v>
      </c>
      <c r="D44" s="2">
        <v>1255000000</v>
      </c>
      <c r="E44" s="2">
        <v>1425000000</v>
      </c>
      <c r="F44" s="2">
        <v>442000000</v>
      </c>
    </row>
    <row r="45" spans="1:6" x14ac:dyDescent="0.2">
      <c r="A45" t="s">
        <v>50</v>
      </c>
      <c r="B45" s="2">
        <v>305000000</v>
      </c>
      <c r="C45" s="2">
        <v>252000000</v>
      </c>
      <c r="D45" s="2">
        <v>1223000000</v>
      </c>
      <c r="E45" s="2">
        <v>1425000000</v>
      </c>
      <c r="F45" s="2">
        <v>442000000</v>
      </c>
    </row>
    <row r="46" spans="1:6" x14ac:dyDescent="0.2">
      <c r="A46" t="s">
        <v>51</v>
      </c>
      <c r="B46" s="2">
        <v>1412000000</v>
      </c>
      <c r="C46" s="2">
        <v>1295000000</v>
      </c>
      <c r="D46" s="2">
        <v>32000000</v>
      </c>
      <c r="E46" t="s">
        <v>17</v>
      </c>
      <c r="F46" t="s">
        <v>17</v>
      </c>
    </row>
    <row r="47" spans="1:6" x14ac:dyDescent="0.2">
      <c r="A47" t="s">
        <v>52</v>
      </c>
      <c r="B47" s="2">
        <v>1086000000</v>
      </c>
      <c r="C47" s="2">
        <v>1107000000</v>
      </c>
      <c r="D47" t="s">
        <v>17</v>
      </c>
      <c r="E47" t="s">
        <v>17</v>
      </c>
      <c r="F47" t="s">
        <v>17</v>
      </c>
    </row>
    <row r="48" spans="1:6" x14ac:dyDescent="0.2">
      <c r="A48" t="s">
        <v>53</v>
      </c>
      <c r="B48" s="2">
        <v>-1736000000</v>
      </c>
      <c r="C48" s="2">
        <v>-1777000000</v>
      </c>
      <c r="D48" s="2">
        <v>-1305000000</v>
      </c>
      <c r="E48" s="2">
        <v>-1416000000</v>
      </c>
      <c r="F48" s="2">
        <v>-409000000</v>
      </c>
    </row>
    <row r="49" spans="1:6" x14ac:dyDescent="0.2">
      <c r="A49" t="s">
        <v>54</v>
      </c>
      <c r="B49" s="2">
        <v>-402000000</v>
      </c>
      <c r="C49" s="2">
        <v>-376000000</v>
      </c>
      <c r="D49" s="2">
        <v>-402000000</v>
      </c>
      <c r="E49" s="2">
        <v>-420000000</v>
      </c>
      <c r="F49" s="2">
        <v>-409000000</v>
      </c>
    </row>
    <row r="50" spans="1:6" x14ac:dyDescent="0.2">
      <c r="A50" t="s">
        <v>55</v>
      </c>
      <c r="B50" s="2">
        <v>-402000000</v>
      </c>
      <c r="C50" s="2">
        <v>-376000000</v>
      </c>
      <c r="D50" s="2">
        <v>-402000000</v>
      </c>
      <c r="E50" s="2">
        <v>-420000000</v>
      </c>
      <c r="F50" s="2">
        <v>-409000000</v>
      </c>
    </row>
    <row r="51" spans="1:6" x14ac:dyDescent="0.2">
      <c r="A51" t="s">
        <v>56</v>
      </c>
      <c r="B51" s="2">
        <v>-1334000000</v>
      </c>
      <c r="C51" s="2">
        <v>-1401000000</v>
      </c>
      <c r="D51" s="2">
        <v>-903000000</v>
      </c>
      <c r="E51" s="2">
        <v>-996000000</v>
      </c>
      <c r="F51" t="s">
        <v>17</v>
      </c>
    </row>
    <row r="52" spans="1:6" x14ac:dyDescent="0.2">
      <c r="A52" t="s">
        <v>57</v>
      </c>
      <c r="B52" s="2">
        <v>-1334000000</v>
      </c>
      <c r="C52" s="2">
        <v>-1401000000</v>
      </c>
      <c r="D52" s="2">
        <v>-903000000</v>
      </c>
      <c r="E52" s="2">
        <v>-996000000</v>
      </c>
      <c r="F52" t="s">
        <v>17</v>
      </c>
    </row>
    <row r="53" spans="1:6" x14ac:dyDescent="0.2">
      <c r="A53" t="s">
        <v>58</v>
      </c>
      <c r="B53" t="s">
        <v>17</v>
      </c>
      <c r="C53" t="s">
        <v>17</v>
      </c>
      <c r="D53" s="2">
        <v>-887000000</v>
      </c>
      <c r="E53" s="2">
        <v>-996000000</v>
      </c>
      <c r="F53" t="s">
        <v>17</v>
      </c>
    </row>
    <row r="54" spans="1:6" x14ac:dyDescent="0.2">
      <c r="A54" t="s">
        <v>59</v>
      </c>
      <c r="B54" s="2">
        <v>-553000000</v>
      </c>
      <c r="C54" s="2">
        <v>-545000000</v>
      </c>
      <c r="D54" s="2">
        <v>-16000000</v>
      </c>
      <c r="E54" t="s">
        <v>17</v>
      </c>
      <c r="F54" t="s">
        <v>17</v>
      </c>
    </row>
    <row r="55" spans="1:6" x14ac:dyDescent="0.2">
      <c r="A55" t="s">
        <v>60</v>
      </c>
      <c r="B55" s="2">
        <v>-781000000</v>
      </c>
      <c r="C55" s="2">
        <v>-856000000</v>
      </c>
      <c r="D55" t="s">
        <v>17</v>
      </c>
      <c r="E55" t="s">
        <v>17</v>
      </c>
      <c r="F55" t="s">
        <v>17</v>
      </c>
    </row>
    <row r="56" spans="1:6" x14ac:dyDescent="0.2">
      <c r="A56" t="s">
        <v>61</v>
      </c>
      <c r="B56" s="2">
        <v>551000000</v>
      </c>
      <c r="C56" s="2">
        <v>552000000</v>
      </c>
      <c r="D56" s="2">
        <v>308000000</v>
      </c>
      <c r="E56" s="2">
        <v>553000000</v>
      </c>
      <c r="F56" s="2">
        <v>639000000</v>
      </c>
    </row>
    <row r="57" spans="1:6" x14ac:dyDescent="0.2">
      <c r="A57" t="s">
        <v>62</v>
      </c>
      <c r="B57" s="2">
        <v>350000000</v>
      </c>
      <c r="C57" s="2">
        <v>369000000</v>
      </c>
      <c r="D57" s="2">
        <v>187000000</v>
      </c>
      <c r="E57" s="2">
        <v>428000000</v>
      </c>
      <c r="F57" s="2">
        <v>512000000</v>
      </c>
    </row>
    <row r="58" spans="1:6" x14ac:dyDescent="0.2">
      <c r="A58" t="s">
        <v>63</v>
      </c>
      <c r="B58" s="2">
        <v>81000000</v>
      </c>
      <c r="C58" s="2">
        <v>84000000</v>
      </c>
      <c r="D58" s="2">
        <v>83000000</v>
      </c>
      <c r="E58" s="2">
        <v>88000000</v>
      </c>
      <c r="F58" s="2">
        <v>85000000</v>
      </c>
    </row>
    <row r="59" spans="1:6" x14ac:dyDescent="0.2">
      <c r="A59" t="s">
        <v>64</v>
      </c>
      <c r="B59" s="2">
        <v>120000000</v>
      </c>
      <c r="C59" s="2">
        <v>99000000</v>
      </c>
      <c r="D59" s="2">
        <v>87000000</v>
      </c>
      <c r="E59" s="2">
        <v>314000000</v>
      </c>
      <c r="F59" s="2">
        <v>390000000</v>
      </c>
    </row>
    <row r="60" spans="1:6" x14ac:dyDescent="0.2">
      <c r="A60" t="s">
        <v>65</v>
      </c>
      <c r="B60" s="2">
        <v>0</v>
      </c>
      <c r="C60" s="2">
        <v>20000000</v>
      </c>
      <c r="D60" s="2">
        <v>17000000</v>
      </c>
      <c r="E60" s="2">
        <v>26000000</v>
      </c>
      <c r="F60" s="2">
        <v>37000000</v>
      </c>
    </row>
    <row r="61" spans="1:6" x14ac:dyDescent="0.2">
      <c r="A61" t="s">
        <v>66</v>
      </c>
      <c r="B61" s="2">
        <v>149000000</v>
      </c>
      <c r="C61" s="2">
        <v>166000000</v>
      </c>
      <c r="D61" t="s">
        <v>17</v>
      </c>
      <c r="E61" t="s">
        <v>17</v>
      </c>
      <c r="F61" t="s">
        <v>17</v>
      </c>
    </row>
    <row r="62" spans="1:6" x14ac:dyDescent="0.2">
      <c r="A62" t="s">
        <v>67</v>
      </c>
      <c r="B62" t="s">
        <v>17</v>
      </c>
      <c r="C62" t="s">
        <v>17</v>
      </c>
      <c r="D62" t="s">
        <v>17</v>
      </c>
      <c r="E62" t="s">
        <v>17</v>
      </c>
      <c r="F62" t="s">
        <v>17</v>
      </c>
    </row>
    <row r="63" spans="1:6" x14ac:dyDescent="0.2">
      <c r="A63" t="s">
        <v>68</v>
      </c>
      <c r="B63" t="s">
        <v>17</v>
      </c>
      <c r="C63" t="s">
        <v>17</v>
      </c>
      <c r="D63" t="s">
        <v>17</v>
      </c>
      <c r="E63" t="s">
        <v>17</v>
      </c>
      <c r="F63" t="s">
        <v>17</v>
      </c>
    </row>
    <row r="64" spans="1:6" x14ac:dyDescent="0.2">
      <c r="A64" t="s">
        <v>69</v>
      </c>
      <c r="B64" s="2">
        <v>201000000</v>
      </c>
      <c r="C64" s="2">
        <v>183000000</v>
      </c>
      <c r="D64" s="2">
        <v>121000000</v>
      </c>
      <c r="E64" s="2">
        <v>125000000</v>
      </c>
      <c r="F64" s="2">
        <v>127000000</v>
      </c>
    </row>
    <row r="65" spans="1:10" x14ac:dyDescent="0.2">
      <c r="A65" t="s">
        <v>70</v>
      </c>
      <c r="B65" s="2">
        <v>157000000</v>
      </c>
      <c r="C65" s="2">
        <v>123000000</v>
      </c>
      <c r="D65" s="2">
        <v>53000000</v>
      </c>
      <c r="E65" s="2">
        <v>3000000</v>
      </c>
      <c r="F65" s="2">
        <v>2000000</v>
      </c>
    </row>
    <row r="66" spans="1:10" x14ac:dyDescent="0.2">
      <c r="A66" t="s">
        <v>71</v>
      </c>
      <c r="B66" s="2">
        <v>1000000</v>
      </c>
      <c r="C66" s="2">
        <v>0</v>
      </c>
      <c r="D66" s="2">
        <v>0</v>
      </c>
      <c r="E66" s="2">
        <v>0</v>
      </c>
      <c r="F66" s="2">
        <v>0</v>
      </c>
    </row>
    <row r="67" spans="1:10" x14ac:dyDescent="0.2">
      <c r="A67" t="s">
        <v>72</v>
      </c>
      <c r="B67" s="2">
        <v>1000000</v>
      </c>
      <c r="C67" s="2">
        <v>0</v>
      </c>
      <c r="D67" s="2">
        <v>0</v>
      </c>
      <c r="E67" s="2">
        <v>0</v>
      </c>
      <c r="F67" s="2">
        <v>0</v>
      </c>
    </row>
    <row r="68" spans="1:10" x14ac:dyDescent="0.2">
      <c r="A68" t="s">
        <v>73</v>
      </c>
      <c r="B68" s="2">
        <v>211000000</v>
      </c>
      <c r="C68" s="2">
        <v>193000000</v>
      </c>
      <c r="D68" s="2">
        <v>165000000</v>
      </c>
      <c r="E68" s="2">
        <v>155000000</v>
      </c>
      <c r="F68" s="2">
        <v>125000000</v>
      </c>
    </row>
    <row r="69" spans="1:10" x14ac:dyDescent="0.2">
      <c r="A69" t="s">
        <v>74</v>
      </c>
      <c r="B69" s="2">
        <v>101000000</v>
      </c>
      <c r="C69" s="2">
        <v>100000000</v>
      </c>
      <c r="D69" s="2">
        <v>74000000</v>
      </c>
      <c r="E69" s="2">
        <v>75000000</v>
      </c>
      <c r="F69" s="2">
        <v>47000000</v>
      </c>
    </row>
    <row r="70" spans="1:10" x14ac:dyDescent="0.2">
      <c r="A70" t="s">
        <v>75</v>
      </c>
      <c r="B70" s="2">
        <v>110000000</v>
      </c>
      <c r="C70" s="2">
        <v>93000000</v>
      </c>
      <c r="D70" s="2">
        <v>91000000</v>
      </c>
      <c r="E70" s="2">
        <v>80000000</v>
      </c>
      <c r="F70" s="2">
        <v>78000000</v>
      </c>
    </row>
    <row r="71" spans="1:10" x14ac:dyDescent="0.2">
      <c r="A71" t="s">
        <v>76</v>
      </c>
      <c r="B71" s="2">
        <v>1093000000</v>
      </c>
      <c r="C71" s="2">
        <v>1233000000</v>
      </c>
      <c r="D71" s="2">
        <v>1263000000</v>
      </c>
      <c r="E71" s="2">
        <v>1216000000</v>
      </c>
      <c r="F71" s="2">
        <v>1358000000</v>
      </c>
    </row>
    <row r="72" spans="1:10" x14ac:dyDescent="0.2">
      <c r="A72" t="s">
        <v>77</v>
      </c>
      <c r="B72" s="2">
        <v>3000000</v>
      </c>
      <c r="C72" s="2">
        <v>2000000</v>
      </c>
      <c r="D72" s="2">
        <v>0</v>
      </c>
      <c r="E72" s="2">
        <v>2000000</v>
      </c>
      <c r="F72" s="2">
        <v>2000000</v>
      </c>
    </row>
    <row r="73" spans="1:10" x14ac:dyDescent="0.2">
      <c r="A73" t="s">
        <v>78</v>
      </c>
      <c r="B73" s="2">
        <v>13623000000</v>
      </c>
      <c r="C73" s="2">
        <v>14362000000</v>
      </c>
      <c r="D73" s="2">
        <v>14300000000</v>
      </c>
      <c r="E73" s="2">
        <v>14945000000</v>
      </c>
      <c r="F73" s="2">
        <v>13095000000</v>
      </c>
      <c r="J73" s="2"/>
    </row>
    <row r="74" spans="1:10" x14ac:dyDescent="0.2">
      <c r="A74" t="s">
        <v>79</v>
      </c>
      <c r="B74" s="2">
        <v>8754000000</v>
      </c>
      <c r="C74" s="2">
        <v>8827000000</v>
      </c>
      <c r="D74" s="2">
        <v>8965000000</v>
      </c>
      <c r="E74" s="2">
        <v>9257000000</v>
      </c>
      <c r="F74" s="2">
        <v>8043000000</v>
      </c>
    </row>
    <row r="75" spans="1:10" x14ac:dyDescent="0.2">
      <c r="A75" t="s">
        <v>80</v>
      </c>
      <c r="B75" s="2">
        <v>6054000000</v>
      </c>
      <c r="C75" s="2">
        <v>5335000000</v>
      </c>
      <c r="D75" s="2">
        <v>5757000000</v>
      </c>
      <c r="E75" s="2">
        <v>5870000000</v>
      </c>
      <c r="F75" s="2">
        <v>5119000000</v>
      </c>
    </row>
    <row r="76" spans="1:10" x14ac:dyDescent="0.2">
      <c r="A76" t="s">
        <v>81</v>
      </c>
      <c r="B76" s="2">
        <v>3617000000</v>
      </c>
      <c r="C76" s="2">
        <v>3163000000</v>
      </c>
      <c r="D76" s="2">
        <v>3073000000</v>
      </c>
      <c r="E76" s="2">
        <v>3458000000</v>
      </c>
      <c r="F76" s="2">
        <v>2846000000</v>
      </c>
    </row>
    <row r="77" spans="1:10" x14ac:dyDescent="0.2">
      <c r="A77" t="s">
        <v>82</v>
      </c>
      <c r="B77" s="2">
        <v>2703000000</v>
      </c>
      <c r="C77" s="2">
        <v>2390000000</v>
      </c>
      <c r="D77" s="2">
        <v>2294000000</v>
      </c>
      <c r="E77" s="2">
        <v>2908000000</v>
      </c>
      <c r="F77" s="2">
        <v>2276000000</v>
      </c>
    </row>
    <row r="78" spans="1:10" x14ac:dyDescent="0.2">
      <c r="A78" t="s">
        <v>83</v>
      </c>
      <c r="B78" s="2">
        <v>914000000</v>
      </c>
      <c r="C78" s="2">
        <v>773000000</v>
      </c>
      <c r="D78" s="2">
        <v>779000000</v>
      </c>
      <c r="E78" s="2">
        <v>550000000</v>
      </c>
      <c r="F78" s="2">
        <v>570000000</v>
      </c>
    </row>
    <row r="79" spans="1:10" x14ac:dyDescent="0.2">
      <c r="A79" t="s">
        <v>84</v>
      </c>
      <c r="B79" s="2">
        <v>2437000000</v>
      </c>
      <c r="C79" s="2">
        <v>2172000000</v>
      </c>
      <c r="D79" s="2">
        <v>2684000000</v>
      </c>
      <c r="E79" s="2">
        <v>2412000000</v>
      </c>
      <c r="F79" s="2">
        <v>2273000000</v>
      </c>
    </row>
    <row r="80" spans="1:10" x14ac:dyDescent="0.2">
      <c r="A80" t="s">
        <v>85</v>
      </c>
      <c r="B80" s="2">
        <v>1011000000</v>
      </c>
      <c r="C80" s="2">
        <v>1695000000</v>
      </c>
      <c r="D80" s="2">
        <v>895000000</v>
      </c>
      <c r="E80" s="2">
        <v>1526000000</v>
      </c>
      <c r="F80" s="2">
        <v>1265000000</v>
      </c>
    </row>
    <row r="81" spans="1:6" x14ac:dyDescent="0.2">
      <c r="A81" t="s">
        <v>86</v>
      </c>
      <c r="B81" s="2">
        <v>776000000</v>
      </c>
      <c r="C81" s="2">
        <v>1249000000</v>
      </c>
      <c r="D81" s="2">
        <v>602000000</v>
      </c>
      <c r="E81" s="2">
        <v>1170000000</v>
      </c>
      <c r="F81" s="2">
        <v>1094000000</v>
      </c>
    </row>
    <row r="82" spans="1:6" x14ac:dyDescent="0.2">
      <c r="A82" t="s">
        <v>87</v>
      </c>
      <c r="B82" t="s">
        <v>17</v>
      </c>
      <c r="C82" t="s">
        <v>17</v>
      </c>
      <c r="D82" t="s">
        <v>17</v>
      </c>
      <c r="E82" t="s">
        <v>17</v>
      </c>
      <c r="F82" s="2">
        <v>0</v>
      </c>
    </row>
    <row r="83" spans="1:6" x14ac:dyDescent="0.2">
      <c r="A83" t="s">
        <v>88</v>
      </c>
      <c r="B83" t="s">
        <v>17</v>
      </c>
      <c r="C83" t="s">
        <v>17</v>
      </c>
      <c r="D83" t="s">
        <v>17</v>
      </c>
      <c r="E83" t="s">
        <v>17</v>
      </c>
      <c r="F83" s="2">
        <v>0</v>
      </c>
    </row>
    <row r="84" spans="1:6" x14ac:dyDescent="0.2">
      <c r="A84" t="s">
        <v>89</v>
      </c>
      <c r="B84" s="2">
        <v>776000000</v>
      </c>
      <c r="C84" s="2">
        <v>1249000000</v>
      </c>
      <c r="D84" s="2">
        <v>602000000</v>
      </c>
      <c r="E84" s="2">
        <v>1170000000</v>
      </c>
      <c r="F84" s="2">
        <v>1094000000</v>
      </c>
    </row>
    <row r="85" spans="1:6" x14ac:dyDescent="0.2">
      <c r="A85" t="s">
        <v>90</v>
      </c>
      <c r="B85" s="2">
        <v>43000000</v>
      </c>
      <c r="C85" s="2">
        <v>686000000</v>
      </c>
      <c r="D85" s="2">
        <v>29000000</v>
      </c>
      <c r="E85" s="2">
        <v>527000000</v>
      </c>
      <c r="F85" s="2">
        <v>549000000</v>
      </c>
    </row>
    <row r="86" spans="1:6" x14ac:dyDescent="0.2">
      <c r="A86" t="s">
        <v>91</v>
      </c>
      <c r="B86" t="s">
        <v>17</v>
      </c>
      <c r="C86" s="2">
        <v>0</v>
      </c>
      <c r="D86" t="s">
        <v>17</v>
      </c>
      <c r="E86" s="2">
        <v>498000000</v>
      </c>
      <c r="F86" s="2">
        <v>500000000</v>
      </c>
    </row>
    <row r="87" spans="1:6" x14ac:dyDescent="0.2">
      <c r="A87" t="s">
        <v>92</v>
      </c>
      <c r="B87" s="2">
        <v>43000000</v>
      </c>
      <c r="C87" s="2">
        <v>87000000</v>
      </c>
      <c r="D87" s="2">
        <v>29000000</v>
      </c>
      <c r="E87" s="2">
        <v>29000000</v>
      </c>
      <c r="F87" s="2">
        <v>49000000</v>
      </c>
    </row>
    <row r="88" spans="1:6" x14ac:dyDescent="0.2">
      <c r="A88" t="s">
        <v>93</v>
      </c>
      <c r="B88" s="2">
        <v>0</v>
      </c>
      <c r="C88" s="2">
        <v>599000000</v>
      </c>
      <c r="D88" t="s">
        <v>17</v>
      </c>
      <c r="E88" s="2">
        <v>0</v>
      </c>
      <c r="F88" t="s">
        <v>17</v>
      </c>
    </row>
    <row r="89" spans="1:6" x14ac:dyDescent="0.2">
      <c r="A89" t="s">
        <v>94</v>
      </c>
      <c r="B89" s="2">
        <v>733000000</v>
      </c>
      <c r="C89" s="2">
        <v>563000000</v>
      </c>
      <c r="D89" s="2">
        <v>573000000</v>
      </c>
      <c r="E89" s="2">
        <v>643000000</v>
      </c>
      <c r="F89" s="2">
        <v>545000000</v>
      </c>
    </row>
    <row r="90" spans="1:6" x14ac:dyDescent="0.2">
      <c r="A90" t="s">
        <v>95</v>
      </c>
      <c r="B90" s="2">
        <v>169000000</v>
      </c>
      <c r="C90" s="2">
        <v>282000000</v>
      </c>
      <c r="D90" s="2">
        <v>183000000</v>
      </c>
      <c r="E90" s="2">
        <v>192000000</v>
      </c>
      <c r="F90" s="2">
        <v>104000000</v>
      </c>
    </row>
    <row r="91" spans="1:6" x14ac:dyDescent="0.2">
      <c r="A91" t="s">
        <v>96</v>
      </c>
      <c r="B91" s="2">
        <v>66000000</v>
      </c>
      <c r="C91" s="2">
        <v>164000000</v>
      </c>
      <c r="D91" s="2">
        <v>110000000</v>
      </c>
      <c r="E91" s="2">
        <v>164000000</v>
      </c>
      <c r="F91" s="2">
        <v>67000000</v>
      </c>
    </row>
    <row r="92" spans="1:6" x14ac:dyDescent="0.2">
      <c r="A92" t="s">
        <v>97</v>
      </c>
      <c r="B92" s="2">
        <v>1495000000</v>
      </c>
      <c r="C92" s="2">
        <v>1653000000</v>
      </c>
      <c r="D92" s="2">
        <v>1513000000</v>
      </c>
      <c r="E92" s="2">
        <v>1641000000</v>
      </c>
      <c r="F92" s="2">
        <v>1360000000</v>
      </c>
    </row>
    <row r="93" spans="1:6" x14ac:dyDescent="0.2">
      <c r="A93" t="s">
        <v>98</v>
      </c>
      <c r="B93" s="2">
        <v>49000000</v>
      </c>
      <c r="C93" s="2">
        <v>44000000</v>
      </c>
      <c r="D93" s="2">
        <v>55000000</v>
      </c>
      <c r="E93" s="2">
        <v>52000000</v>
      </c>
      <c r="F93" s="2">
        <v>37000000</v>
      </c>
    </row>
    <row r="94" spans="1:6" x14ac:dyDescent="0.2">
      <c r="A94" t="s">
        <v>99</v>
      </c>
      <c r="B94" s="2">
        <v>49000000</v>
      </c>
      <c r="C94" s="2">
        <v>44000000</v>
      </c>
      <c r="D94" s="2">
        <v>55000000</v>
      </c>
      <c r="E94" s="2">
        <v>52000000</v>
      </c>
      <c r="F94" s="2">
        <v>37000000</v>
      </c>
    </row>
    <row r="95" spans="1:6" x14ac:dyDescent="0.2">
      <c r="A95" t="s">
        <v>100</v>
      </c>
      <c r="B95" s="2">
        <v>1446000000</v>
      </c>
      <c r="C95" s="2">
        <v>1609000000</v>
      </c>
      <c r="D95" s="2">
        <v>1458000000</v>
      </c>
      <c r="E95" s="2">
        <v>1589000000</v>
      </c>
      <c r="F95" s="2">
        <v>1323000000</v>
      </c>
    </row>
    <row r="96" spans="1:6" x14ac:dyDescent="0.2">
      <c r="A96" t="s">
        <v>101</v>
      </c>
      <c r="B96" s="2">
        <v>63000000</v>
      </c>
      <c r="C96" s="2">
        <v>75000000</v>
      </c>
      <c r="D96" s="2">
        <v>156000000</v>
      </c>
      <c r="E96" s="2">
        <v>148000000</v>
      </c>
      <c r="F96" s="2">
        <v>223000000</v>
      </c>
    </row>
    <row r="97" spans="1:6" x14ac:dyDescent="0.2">
      <c r="A97" t="s">
        <v>102</v>
      </c>
      <c r="B97" s="2">
        <v>63000000</v>
      </c>
      <c r="C97" s="2">
        <v>75000000</v>
      </c>
      <c r="D97" s="2">
        <v>156000000</v>
      </c>
      <c r="E97" s="2">
        <v>148000000</v>
      </c>
      <c r="F97" s="2">
        <v>203000000</v>
      </c>
    </row>
    <row r="98" spans="1:6" x14ac:dyDescent="0.2">
      <c r="A98" t="s">
        <v>103</v>
      </c>
      <c r="B98" t="s">
        <v>17</v>
      </c>
      <c r="C98" t="s">
        <v>17</v>
      </c>
      <c r="D98" t="s">
        <v>17</v>
      </c>
      <c r="E98" t="s">
        <v>17</v>
      </c>
      <c r="F98" s="2">
        <v>20000000</v>
      </c>
    </row>
    <row r="99" spans="1:6" x14ac:dyDescent="0.2">
      <c r="A99" t="s">
        <v>104</v>
      </c>
      <c r="B99" s="2">
        <v>130000000</v>
      </c>
      <c r="C99" s="2">
        <v>69000000</v>
      </c>
      <c r="D99" s="2">
        <v>51000000</v>
      </c>
      <c r="E99" s="2">
        <v>72000000</v>
      </c>
      <c r="F99" s="2">
        <v>75000000</v>
      </c>
    </row>
    <row r="100" spans="1:6" x14ac:dyDescent="0.2">
      <c r="A100" t="s">
        <v>105</v>
      </c>
      <c r="B100" t="s">
        <v>17</v>
      </c>
      <c r="C100" t="s">
        <v>17</v>
      </c>
      <c r="D100" s="2">
        <v>594000000</v>
      </c>
      <c r="E100" s="2">
        <v>0</v>
      </c>
      <c r="F100" t="s">
        <v>17</v>
      </c>
    </row>
    <row r="101" spans="1:6" x14ac:dyDescent="0.2">
      <c r="A101" t="s">
        <v>106</v>
      </c>
      <c r="B101" s="2">
        <v>4869000000</v>
      </c>
      <c r="C101" s="2">
        <v>5535000000</v>
      </c>
      <c r="D101" s="2">
        <v>5335000000</v>
      </c>
      <c r="E101" s="2">
        <v>5688000000</v>
      </c>
      <c r="F101" s="2">
        <v>5052000000</v>
      </c>
    </row>
    <row r="102" spans="1:6" x14ac:dyDescent="0.2">
      <c r="A102" t="s">
        <v>107</v>
      </c>
      <c r="B102" s="2">
        <v>4087000000</v>
      </c>
      <c r="C102" s="2">
        <v>4756000000</v>
      </c>
      <c r="D102" s="2">
        <v>4781000000</v>
      </c>
      <c r="E102" s="2">
        <v>5333000000</v>
      </c>
      <c r="F102" s="2">
        <v>4475000000</v>
      </c>
    </row>
    <row r="103" spans="1:6" x14ac:dyDescent="0.2">
      <c r="A103" t="s">
        <v>108</v>
      </c>
      <c r="B103" s="2">
        <v>3994000000</v>
      </c>
      <c r="C103" s="2">
        <v>4641000000</v>
      </c>
      <c r="D103" s="2">
        <v>4729000000</v>
      </c>
      <c r="E103" s="2">
        <v>5289000000</v>
      </c>
      <c r="F103" s="2">
        <v>4469000000</v>
      </c>
    </row>
    <row r="104" spans="1:6" x14ac:dyDescent="0.2">
      <c r="A104" t="s">
        <v>109</v>
      </c>
      <c r="B104" s="2">
        <v>1595000000</v>
      </c>
      <c r="C104" s="2">
        <v>2482000000</v>
      </c>
      <c r="D104" s="2">
        <v>2466000000</v>
      </c>
      <c r="E104" s="2">
        <v>2946000000</v>
      </c>
      <c r="F104" s="2">
        <v>2430000000</v>
      </c>
    </row>
    <row r="105" spans="1:6" x14ac:dyDescent="0.2">
      <c r="A105" t="s">
        <v>110</v>
      </c>
      <c r="B105" s="2">
        <v>487000000</v>
      </c>
      <c r="C105" s="2">
        <v>1889000000</v>
      </c>
      <c r="D105" s="2">
        <v>1890000000</v>
      </c>
      <c r="E105" s="2">
        <v>2883000000</v>
      </c>
      <c r="F105" s="2">
        <v>2386000000</v>
      </c>
    </row>
    <row r="106" spans="1:6" x14ac:dyDescent="0.2">
      <c r="A106" t="s">
        <v>111</v>
      </c>
      <c r="B106" t="s">
        <v>17</v>
      </c>
      <c r="C106" s="2">
        <v>491000000</v>
      </c>
      <c r="D106" s="2">
        <v>494000000</v>
      </c>
      <c r="E106" s="2">
        <v>0</v>
      </c>
      <c r="F106" s="2">
        <v>0</v>
      </c>
    </row>
    <row r="107" spans="1:6" x14ac:dyDescent="0.2">
      <c r="A107" t="s">
        <v>112</v>
      </c>
      <c r="B107" s="2">
        <v>122000000</v>
      </c>
      <c r="C107" s="2">
        <v>102000000</v>
      </c>
      <c r="D107" s="2">
        <v>82000000</v>
      </c>
      <c r="E107" s="2">
        <v>63000000</v>
      </c>
      <c r="F107" s="2">
        <v>44000000</v>
      </c>
    </row>
    <row r="108" spans="1:6" x14ac:dyDescent="0.2">
      <c r="A108" t="s">
        <v>113</v>
      </c>
      <c r="B108" s="2">
        <v>986000000</v>
      </c>
      <c r="C108" t="s">
        <v>17</v>
      </c>
      <c r="D108" t="s">
        <v>17</v>
      </c>
      <c r="E108" t="s">
        <v>17</v>
      </c>
      <c r="F108" t="s">
        <v>17</v>
      </c>
    </row>
    <row r="109" spans="1:6" x14ac:dyDescent="0.2">
      <c r="A109" t="s">
        <v>114</v>
      </c>
      <c r="B109" s="2">
        <v>2399000000</v>
      </c>
      <c r="C109" s="2">
        <v>2159000000</v>
      </c>
      <c r="D109" s="2">
        <v>2263000000</v>
      </c>
      <c r="E109" s="2">
        <v>2343000000</v>
      </c>
      <c r="F109" s="2">
        <v>2039000000</v>
      </c>
    </row>
    <row r="110" spans="1:6" x14ac:dyDescent="0.2">
      <c r="A110" t="s">
        <v>115</v>
      </c>
      <c r="B110" s="2">
        <v>93000000</v>
      </c>
      <c r="C110" s="2">
        <v>111000000</v>
      </c>
      <c r="D110" s="2">
        <v>52000000</v>
      </c>
      <c r="E110" s="2">
        <v>44000000</v>
      </c>
      <c r="F110" s="2">
        <v>6000000</v>
      </c>
    </row>
    <row r="111" spans="1:6" x14ac:dyDescent="0.2">
      <c r="A111" t="s">
        <v>116</v>
      </c>
      <c r="B111" t="s">
        <v>17</v>
      </c>
      <c r="C111" s="2">
        <v>4000000</v>
      </c>
      <c r="D111" s="2">
        <v>0</v>
      </c>
      <c r="E111" t="s">
        <v>17</v>
      </c>
      <c r="F111" t="s">
        <v>17</v>
      </c>
    </row>
    <row r="112" spans="1:6" x14ac:dyDescent="0.2">
      <c r="A112" t="s">
        <v>117</v>
      </c>
      <c r="B112" s="2">
        <v>488000000</v>
      </c>
      <c r="C112" s="2">
        <v>515000000</v>
      </c>
      <c r="D112" s="2">
        <v>418000000</v>
      </c>
      <c r="E112" s="2">
        <v>206000000</v>
      </c>
      <c r="F112" s="2">
        <v>327000000</v>
      </c>
    </row>
    <row r="113" spans="1:10" x14ac:dyDescent="0.2">
      <c r="A113" t="s">
        <v>118</v>
      </c>
      <c r="B113" s="2">
        <v>231000000</v>
      </c>
      <c r="C113" s="2">
        <v>286000000</v>
      </c>
      <c r="D113" s="2">
        <v>269000000</v>
      </c>
      <c r="E113" s="2">
        <v>118000000</v>
      </c>
      <c r="F113" s="2">
        <v>139000000</v>
      </c>
    </row>
    <row r="114" spans="1:10" x14ac:dyDescent="0.2">
      <c r="A114" t="s">
        <v>119</v>
      </c>
      <c r="B114" s="2">
        <v>229000000</v>
      </c>
      <c r="C114" s="2">
        <v>284000000</v>
      </c>
      <c r="D114" s="2">
        <v>267000000</v>
      </c>
      <c r="E114" s="2">
        <v>118000000</v>
      </c>
      <c r="F114" s="2">
        <v>139000000</v>
      </c>
    </row>
    <row r="115" spans="1:10" x14ac:dyDescent="0.2">
      <c r="A115" t="s">
        <v>120</v>
      </c>
      <c r="B115" s="2">
        <v>2000000</v>
      </c>
      <c r="C115" s="2">
        <v>2000000</v>
      </c>
      <c r="D115" s="2">
        <v>2000000</v>
      </c>
      <c r="E115" s="2">
        <v>0</v>
      </c>
      <c r="F115" s="2">
        <v>0</v>
      </c>
    </row>
    <row r="116" spans="1:10" x14ac:dyDescent="0.2">
      <c r="A116" t="s">
        <v>121</v>
      </c>
      <c r="B116" s="2">
        <v>257000000</v>
      </c>
      <c r="C116" s="2">
        <v>229000000</v>
      </c>
      <c r="D116" s="2">
        <v>149000000</v>
      </c>
      <c r="E116" s="2">
        <v>88000000</v>
      </c>
      <c r="F116" s="2">
        <v>188000000</v>
      </c>
    </row>
    <row r="117" spans="1:10" x14ac:dyDescent="0.2">
      <c r="A117" t="s">
        <v>122</v>
      </c>
      <c r="B117" s="2">
        <v>280000000</v>
      </c>
      <c r="C117" s="2">
        <v>241000000</v>
      </c>
      <c r="D117" s="2">
        <v>122000000</v>
      </c>
      <c r="E117" s="2">
        <v>135000000</v>
      </c>
      <c r="F117" s="2">
        <v>147000000</v>
      </c>
    </row>
    <row r="118" spans="1:10" x14ac:dyDescent="0.2">
      <c r="A118" t="s">
        <v>123</v>
      </c>
      <c r="B118" s="2">
        <v>280000000</v>
      </c>
      <c r="C118" s="2">
        <v>241000000</v>
      </c>
      <c r="D118" s="2">
        <v>122000000</v>
      </c>
      <c r="E118" s="2">
        <v>135000000</v>
      </c>
      <c r="F118" s="2">
        <v>147000000</v>
      </c>
    </row>
    <row r="119" spans="1:10" x14ac:dyDescent="0.2">
      <c r="A119" t="s">
        <v>124</v>
      </c>
      <c r="B119" s="2">
        <v>4000000</v>
      </c>
      <c r="C119" s="2">
        <v>5000000</v>
      </c>
      <c r="D119" s="2">
        <v>7000000</v>
      </c>
      <c r="E119" s="2">
        <v>6000000</v>
      </c>
      <c r="F119" s="2">
        <v>99000000</v>
      </c>
    </row>
    <row r="120" spans="1:10" x14ac:dyDescent="0.2">
      <c r="A120" t="s">
        <v>125</v>
      </c>
      <c r="B120" s="2">
        <v>4000000</v>
      </c>
      <c r="C120" s="2">
        <v>5000000</v>
      </c>
      <c r="D120" s="2">
        <v>7000000</v>
      </c>
      <c r="E120" s="2">
        <v>6000000</v>
      </c>
      <c r="F120" s="2">
        <v>4000000</v>
      </c>
    </row>
    <row r="121" spans="1:10" x14ac:dyDescent="0.2">
      <c r="A121" t="s">
        <v>126</v>
      </c>
      <c r="B121" t="s">
        <v>17</v>
      </c>
      <c r="C121" t="s">
        <v>17</v>
      </c>
      <c r="D121" t="s">
        <v>17</v>
      </c>
      <c r="E121" t="s">
        <v>17</v>
      </c>
      <c r="F121" s="2">
        <v>95000000</v>
      </c>
    </row>
    <row r="122" spans="1:10" x14ac:dyDescent="0.2">
      <c r="A122" t="s">
        <v>127</v>
      </c>
      <c r="B122" s="2">
        <v>9000000</v>
      </c>
      <c r="C122" s="2">
        <v>8000000</v>
      </c>
      <c r="D122" s="2">
        <v>8000000</v>
      </c>
      <c r="E122" s="2">
        <v>7000000</v>
      </c>
      <c r="F122" s="2">
        <v>0</v>
      </c>
    </row>
    <row r="123" spans="1:10" x14ac:dyDescent="0.2">
      <c r="A123" t="s">
        <v>128</v>
      </c>
      <c r="B123" s="2">
        <v>9000000</v>
      </c>
      <c r="C123" s="2">
        <v>8000000</v>
      </c>
      <c r="D123" s="2">
        <v>8000000</v>
      </c>
      <c r="E123" s="2">
        <v>7000000</v>
      </c>
      <c r="F123" s="2">
        <v>0</v>
      </c>
    </row>
    <row r="124" spans="1:10" x14ac:dyDescent="0.2">
      <c r="A124" t="s">
        <v>129</v>
      </c>
      <c r="B124" s="2">
        <v>0</v>
      </c>
      <c r="C124" s="2">
        <v>10000000</v>
      </c>
      <c r="D124" s="2">
        <v>0</v>
      </c>
      <c r="E124" s="2">
        <v>0</v>
      </c>
      <c r="F124" s="2">
        <v>4000000</v>
      </c>
    </row>
    <row r="125" spans="1:10" x14ac:dyDescent="0.2">
      <c r="A125" s="4" t="s">
        <v>130</v>
      </c>
      <c r="B125" s="2">
        <v>7057000000</v>
      </c>
      <c r="C125" s="2">
        <v>6691000000</v>
      </c>
      <c r="D125" s="2">
        <v>7837000000</v>
      </c>
      <c r="E125" s="2">
        <v>5351000000</v>
      </c>
      <c r="F125" s="2">
        <v>4925000000</v>
      </c>
    </row>
    <row r="126" spans="1:10" x14ac:dyDescent="0.2">
      <c r="A126" t="s">
        <v>131</v>
      </c>
      <c r="B126" s="2">
        <v>6796000000</v>
      </c>
      <c r="C126" s="2">
        <v>6454000000</v>
      </c>
      <c r="D126" s="2">
        <v>7519000000</v>
      </c>
      <c r="E126" s="2">
        <v>4991000000</v>
      </c>
      <c r="F126" s="2">
        <v>4580000000</v>
      </c>
    </row>
    <row r="127" spans="1:10" x14ac:dyDescent="0.2">
      <c r="A127" t="s">
        <v>132</v>
      </c>
      <c r="B127" s="2">
        <v>196000000</v>
      </c>
      <c r="C127" s="2">
        <v>1082000000</v>
      </c>
      <c r="D127" s="2">
        <v>1087000000</v>
      </c>
      <c r="E127" s="2">
        <v>1517000000</v>
      </c>
      <c r="F127" s="2">
        <v>1534000000</v>
      </c>
    </row>
    <row r="128" spans="1:10" x14ac:dyDescent="0.2">
      <c r="A128" t="s">
        <v>133</v>
      </c>
      <c r="B128" s="2">
        <v>196000000</v>
      </c>
      <c r="C128" s="2">
        <v>1082000000</v>
      </c>
      <c r="D128" s="2">
        <v>1087000000</v>
      </c>
      <c r="E128" s="2">
        <v>1517000000</v>
      </c>
      <c r="F128" s="2">
        <v>1534000000</v>
      </c>
      <c r="J128" s="3">
        <f>B127+B131+B132+B136</f>
        <v>7057000000</v>
      </c>
    </row>
    <row r="129" spans="1:6" x14ac:dyDescent="0.2">
      <c r="A129" s="4" t="s">
        <v>134</v>
      </c>
      <c r="B129" s="2">
        <v>196000000</v>
      </c>
      <c r="C129" s="2">
        <v>195000000</v>
      </c>
      <c r="D129" s="2">
        <v>192000000</v>
      </c>
      <c r="E129" s="2">
        <v>179000000</v>
      </c>
      <c r="F129" s="2">
        <v>179000000</v>
      </c>
    </row>
    <row r="130" spans="1:6" x14ac:dyDescent="0.2">
      <c r="A130" t="s">
        <v>135</v>
      </c>
      <c r="B130" t="s">
        <v>17</v>
      </c>
      <c r="C130" s="2">
        <v>887000000</v>
      </c>
      <c r="D130" s="2">
        <v>895000000</v>
      </c>
      <c r="E130" s="2">
        <v>1338000000</v>
      </c>
      <c r="F130" s="2">
        <v>1355000000</v>
      </c>
    </row>
    <row r="131" spans="1:6" x14ac:dyDescent="0.2">
      <c r="A131" t="s">
        <v>136</v>
      </c>
      <c r="B131" s="2">
        <v>6555000000</v>
      </c>
      <c r="C131" s="2">
        <v>6733000000</v>
      </c>
      <c r="D131" s="2">
        <v>7259000000</v>
      </c>
      <c r="E131" s="2">
        <v>4347000000</v>
      </c>
      <c r="F131" s="2">
        <v>4145000000</v>
      </c>
    </row>
    <row r="132" spans="1:6" x14ac:dyDescent="0.2">
      <c r="A132" t="s">
        <v>137</v>
      </c>
      <c r="B132" s="2">
        <v>45000000</v>
      </c>
      <c r="C132" s="2">
        <v>-1361000000</v>
      </c>
      <c r="D132" s="2">
        <v>-826000000</v>
      </c>
      <c r="E132" s="2">
        <v>-871000000</v>
      </c>
      <c r="F132" s="2">
        <v>-1097000000</v>
      </c>
    </row>
    <row r="133" spans="1:6" x14ac:dyDescent="0.2">
      <c r="A133" t="s">
        <v>138</v>
      </c>
      <c r="B133" t="s">
        <v>17</v>
      </c>
      <c r="C133" s="2">
        <v>-235000000</v>
      </c>
      <c r="D133" s="2">
        <v>-200000000</v>
      </c>
      <c r="E133" s="2">
        <v>-116000000</v>
      </c>
      <c r="F133" s="2">
        <v>-126000000</v>
      </c>
    </row>
    <row r="134" spans="1:6" x14ac:dyDescent="0.2">
      <c r="A134" t="s">
        <v>139</v>
      </c>
      <c r="B134" t="s">
        <v>17</v>
      </c>
      <c r="C134" s="2">
        <v>-850000000</v>
      </c>
      <c r="D134" s="2">
        <v>-542000000</v>
      </c>
      <c r="E134" s="2">
        <v>-608000000</v>
      </c>
      <c r="F134" s="2">
        <v>-750000000</v>
      </c>
    </row>
    <row r="135" spans="1:6" x14ac:dyDescent="0.2">
      <c r="A135" t="s">
        <v>140</v>
      </c>
      <c r="B135" t="s">
        <v>17</v>
      </c>
      <c r="C135" s="2">
        <v>-276000000</v>
      </c>
      <c r="D135" s="2">
        <v>-84000000</v>
      </c>
      <c r="E135" s="2">
        <v>-147000000</v>
      </c>
      <c r="F135" s="2">
        <v>-221000000</v>
      </c>
    </row>
    <row r="136" spans="1:6" x14ac:dyDescent="0.2">
      <c r="A136" t="s">
        <v>141</v>
      </c>
      <c r="B136" s="2">
        <v>261000000</v>
      </c>
      <c r="C136" s="2">
        <v>237000000</v>
      </c>
      <c r="D136" s="2">
        <v>318000000</v>
      </c>
      <c r="E136" s="2">
        <v>360000000</v>
      </c>
      <c r="F136" s="2">
        <v>345000000</v>
      </c>
    </row>
    <row r="137" spans="1:6" x14ac:dyDescent="0.2">
      <c r="A137" t="s">
        <v>142</v>
      </c>
      <c r="B137" s="2">
        <v>1638000000</v>
      </c>
      <c r="C137" s="2">
        <v>3168000000</v>
      </c>
      <c r="D137" s="2">
        <v>2495000000</v>
      </c>
      <c r="E137" s="2">
        <v>3473000000</v>
      </c>
      <c r="F137" s="2">
        <v>2979000000</v>
      </c>
    </row>
    <row r="138" spans="1:6" x14ac:dyDescent="0.2">
      <c r="A138" t="s">
        <v>143</v>
      </c>
      <c r="B138" s="2">
        <v>43000000</v>
      </c>
      <c r="C138" s="2">
        <v>707000000</v>
      </c>
      <c r="D138" s="2">
        <v>41000000</v>
      </c>
      <c r="E138" s="2">
        <v>570000000</v>
      </c>
      <c r="F138" s="2">
        <v>591000000</v>
      </c>
    </row>
    <row r="139" spans="1:6" x14ac:dyDescent="0.2">
      <c r="A139" t="s">
        <v>144</v>
      </c>
      <c r="B139" t="s">
        <v>17</v>
      </c>
      <c r="C139" s="2">
        <v>30000000</v>
      </c>
      <c r="D139" s="2">
        <v>525000000</v>
      </c>
      <c r="E139" s="2">
        <v>562000000</v>
      </c>
      <c r="F139" s="2">
        <v>562000000</v>
      </c>
    </row>
    <row r="140" spans="1:6" x14ac:dyDescent="0.2">
      <c r="A140" t="s">
        <v>145</v>
      </c>
      <c r="B140" s="2">
        <v>636000000</v>
      </c>
      <c r="C140" s="2">
        <v>522000000</v>
      </c>
      <c r="D140" s="2">
        <v>531000000</v>
      </c>
      <c r="E140" s="2">
        <v>562000000</v>
      </c>
      <c r="F140" s="2">
        <v>447000000</v>
      </c>
    </row>
    <row r="141" spans="1:6" x14ac:dyDescent="0.2">
      <c r="A141" t="s">
        <v>146</v>
      </c>
      <c r="B141" t="s">
        <v>17</v>
      </c>
      <c r="C141" s="2">
        <v>531000000</v>
      </c>
      <c r="D141" s="2">
        <v>30000000</v>
      </c>
      <c r="E141" s="2">
        <v>447000000</v>
      </c>
      <c r="F141" s="2">
        <v>26000000</v>
      </c>
    </row>
    <row r="142" spans="1:6" x14ac:dyDescent="0.2">
      <c r="A142" t="s">
        <v>147</v>
      </c>
      <c r="B142" s="2">
        <v>525000000</v>
      </c>
      <c r="C142" s="2">
        <v>31000000</v>
      </c>
      <c r="D142" s="2">
        <v>431000000</v>
      </c>
      <c r="E142" s="2">
        <v>26000000</v>
      </c>
      <c r="F142" s="2">
        <v>519000000</v>
      </c>
    </row>
    <row r="143" spans="1:6" x14ac:dyDescent="0.2">
      <c r="A143" t="s">
        <v>148</v>
      </c>
      <c r="B143" s="2">
        <v>434000000</v>
      </c>
      <c r="C143" s="2">
        <v>1468000000</v>
      </c>
      <c r="D143" s="2">
        <v>1036000000</v>
      </c>
      <c r="E143" s="2">
        <v>1556000000</v>
      </c>
      <c r="F143" s="2">
        <v>1037000000</v>
      </c>
    </row>
    <row r="144" spans="1:6" x14ac:dyDescent="0.2">
      <c r="A144" t="s">
        <v>149</v>
      </c>
      <c r="B144" t="s">
        <v>17</v>
      </c>
      <c r="C144" s="2">
        <v>-121000000</v>
      </c>
      <c r="D144" s="2">
        <v>-99000000</v>
      </c>
      <c r="E144" s="2">
        <v>-250000000</v>
      </c>
      <c r="F144" s="2">
        <v>-203000000</v>
      </c>
    </row>
    <row r="145" spans="1:6" x14ac:dyDescent="0.2">
      <c r="A145" t="s">
        <v>150</v>
      </c>
      <c r="B145" s="2">
        <v>3132000000</v>
      </c>
      <c r="C145" s="2">
        <v>2722000000</v>
      </c>
      <c r="D145" s="2">
        <v>2836000000</v>
      </c>
      <c r="E145" s="2">
        <v>2986000000</v>
      </c>
      <c r="F145" s="2">
        <v>2584000000</v>
      </c>
    </row>
    <row r="146" spans="1:6" x14ac:dyDescent="0.2">
      <c r="A146" t="s">
        <v>151</v>
      </c>
      <c r="B146" s="2">
        <v>723000000</v>
      </c>
      <c r="C146" s="2">
        <v>644000000</v>
      </c>
      <c r="D146" s="2">
        <v>635000000</v>
      </c>
      <c r="E146" s="2">
        <v>715000000</v>
      </c>
      <c r="F146" s="2">
        <v>652000000</v>
      </c>
    </row>
    <row r="147" spans="1:6" x14ac:dyDescent="0.2">
      <c r="A147" t="s">
        <v>152</v>
      </c>
      <c r="B147" s="2">
        <v>2110000000</v>
      </c>
      <c r="C147" s="2">
        <v>1641000000</v>
      </c>
      <c r="D147" s="2">
        <v>1580000000</v>
      </c>
      <c r="E147" s="2">
        <v>1760000000</v>
      </c>
      <c r="F147" s="2">
        <v>1571000000</v>
      </c>
    </row>
    <row r="148" spans="1:6" x14ac:dyDescent="0.2">
      <c r="A148" t="s">
        <v>153</v>
      </c>
      <c r="B148" s="2">
        <v>732000000</v>
      </c>
      <c r="C148" s="2">
        <v>789000000</v>
      </c>
      <c r="D148" s="2">
        <v>842000000</v>
      </c>
      <c r="E148" s="2">
        <v>901000000</v>
      </c>
      <c r="F148" s="2">
        <v>765000000</v>
      </c>
    </row>
    <row r="149" spans="1:6" x14ac:dyDescent="0.2">
      <c r="A149" t="s">
        <v>154</v>
      </c>
      <c r="B149" s="2">
        <v>-433000000</v>
      </c>
      <c r="C149" s="2">
        <v>-352000000</v>
      </c>
      <c r="D149" s="2">
        <v>-221000000</v>
      </c>
      <c r="E149" s="2">
        <v>-390000000</v>
      </c>
      <c r="F149" s="2">
        <v>-404000000</v>
      </c>
    </row>
    <row r="150" spans="1:6" x14ac:dyDescent="0.2">
      <c r="A150" t="s">
        <v>155</v>
      </c>
      <c r="B150" s="2">
        <v>318000000</v>
      </c>
      <c r="C150" s="2">
        <v>322000000</v>
      </c>
      <c r="D150" t="s">
        <v>17</v>
      </c>
      <c r="E150" t="s">
        <v>17</v>
      </c>
      <c r="F150" s="2">
        <v>214000000</v>
      </c>
    </row>
    <row r="151" spans="1:6" x14ac:dyDescent="0.2">
      <c r="A151" t="s">
        <v>156</v>
      </c>
      <c r="B151" s="2">
        <v>83000000</v>
      </c>
      <c r="C151" s="2">
        <v>73000000</v>
      </c>
      <c r="D151" t="s">
        <v>17</v>
      </c>
      <c r="E151" t="s">
        <v>17</v>
      </c>
      <c r="F151" s="2">
        <v>46000000</v>
      </c>
    </row>
    <row r="152" spans="1:6" x14ac:dyDescent="0.2">
      <c r="A152" t="s">
        <v>157</v>
      </c>
      <c r="B152" s="2">
        <v>161000000</v>
      </c>
      <c r="C152" s="2">
        <v>207000000</v>
      </c>
      <c r="D152" t="s">
        <v>17</v>
      </c>
      <c r="E152" t="s">
        <v>17</v>
      </c>
      <c r="F152" s="2">
        <v>117000000</v>
      </c>
    </row>
    <row r="153" spans="1:6" x14ac:dyDescent="0.2">
      <c r="A153" t="s">
        <v>158</v>
      </c>
      <c r="B153" s="2">
        <v>74000000</v>
      </c>
      <c r="C153" s="2">
        <v>42000000</v>
      </c>
      <c r="D153" t="s">
        <v>17</v>
      </c>
      <c r="E153" t="s">
        <v>17</v>
      </c>
      <c r="F153" s="2">
        <v>51000000</v>
      </c>
    </row>
    <row r="154" spans="1:6" x14ac:dyDescent="0.2">
      <c r="A154" t="s">
        <v>159</v>
      </c>
      <c r="B154" s="2">
        <v>12521000000</v>
      </c>
      <c r="C154" s="2">
        <v>11879000000</v>
      </c>
      <c r="D154" s="2">
        <v>8528000000</v>
      </c>
      <c r="E154" s="2">
        <v>9650000000</v>
      </c>
      <c r="F154" s="2">
        <v>7517000000</v>
      </c>
    </row>
    <row r="155" spans="1:6" x14ac:dyDescent="0.2">
      <c r="A155" t="s">
        <v>160</v>
      </c>
      <c r="B155" s="2">
        <v>11282000000</v>
      </c>
      <c r="C155" s="2">
        <v>10371000000</v>
      </c>
      <c r="D155" s="2">
        <v>7655000000</v>
      </c>
      <c r="E155" s="2">
        <v>9320000000</v>
      </c>
      <c r="F155" s="2">
        <v>7196000000</v>
      </c>
    </row>
    <row r="156" spans="1:6" x14ac:dyDescent="0.2">
      <c r="A156" t="s">
        <v>161</v>
      </c>
      <c r="B156" s="2">
        <v>712000000</v>
      </c>
      <c r="C156" s="2">
        <v>987000000</v>
      </c>
      <c r="D156" s="2">
        <v>848000000</v>
      </c>
      <c r="E156" s="2">
        <v>296000000</v>
      </c>
      <c r="F156" s="2">
        <v>321000000</v>
      </c>
    </row>
    <row r="157" spans="1:6" x14ac:dyDescent="0.2">
      <c r="A157" t="s">
        <v>162</v>
      </c>
      <c r="B157" s="2">
        <v>5000000</v>
      </c>
      <c r="C157" s="2">
        <v>503000000</v>
      </c>
      <c r="D157" s="2">
        <v>4000000</v>
      </c>
      <c r="E157" s="2">
        <v>30000000</v>
      </c>
      <c r="F157" t="s">
        <v>17</v>
      </c>
    </row>
    <row r="158" spans="1:6" x14ac:dyDescent="0.2">
      <c r="A158" t="s">
        <v>163</v>
      </c>
      <c r="B158" s="2">
        <v>16000000</v>
      </c>
      <c r="C158" s="2">
        <v>12000000</v>
      </c>
      <c r="D158" s="2">
        <v>13000000</v>
      </c>
      <c r="E158" s="2">
        <v>4000000</v>
      </c>
      <c r="F158" t="s">
        <v>17</v>
      </c>
    </row>
    <row r="159" spans="1:6" x14ac:dyDescent="0.2">
      <c r="A159" t="s">
        <v>164</v>
      </c>
      <c r="B159" s="2">
        <v>503000000</v>
      </c>
      <c r="C159" s="2">
        <v>3000000</v>
      </c>
      <c r="D159" s="2">
        <v>4000000</v>
      </c>
      <c r="E159" t="s">
        <v>17</v>
      </c>
      <c r="F159" t="s">
        <v>17</v>
      </c>
    </row>
    <row r="160" spans="1:6" x14ac:dyDescent="0.2">
      <c r="A160" t="s">
        <v>165</v>
      </c>
      <c r="B160" s="2">
        <v>3000000</v>
      </c>
      <c r="C160" s="2">
        <v>3000000</v>
      </c>
      <c r="D160" s="2">
        <v>4000000</v>
      </c>
      <c r="E160" t="s">
        <v>17</v>
      </c>
      <c r="F160" t="s">
        <v>17</v>
      </c>
    </row>
    <row r="161" spans="1:6" x14ac:dyDescent="0.2">
      <c r="A161" t="s">
        <v>166</v>
      </c>
      <c r="B161" s="2">
        <v>3450000000</v>
      </c>
      <c r="C161" s="2">
        <v>3044000000</v>
      </c>
      <c r="D161" s="2">
        <v>2836000000</v>
      </c>
      <c r="E161" s="2">
        <v>2986000000</v>
      </c>
      <c r="F161" s="2">
        <v>2798000000</v>
      </c>
    </row>
    <row r="162" spans="1:6" x14ac:dyDescent="0.2">
      <c r="A162" t="s">
        <v>167</v>
      </c>
      <c r="B162" s="2">
        <v>806000000</v>
      </c>
      <c r="C162" s="2">
        <v>717000000</v>
      </c>
      <c r="D162" s="2">
        <v>635000000</v>
      </c>
      <c r="E162" s="2">
        <v>715000000</v>
      </c>
      <c r="F162" s="2">
        <v>698000000</v>
      </c>
    </row>
    <row r="163" spans="1:6" x14ac:dyDescent="0.2">
      <c r="A163" t="s">
        <v>168</v>
      </c>
      <c r="B163" s="2">
        <v>2271000000</v>
      </c>
      <c r="C163" s="2">
        <v>1848000000</v>
      </c>
      <c r="D163" s="2">
        <v>1580000000</v>
      </c>
      <c r="E163" s="2">
        <v>1760000000</v>
      </c>
      <c r="F163" s="2">
        <v>1688000000</v>
      </c>
    </row>
    <row r="164" spans="1:6" x14ac:dyDescent="0.2">
      <c r="A164" t="s">
        <v>169</v>
      </c>
      <c r="B164" s="2">
        <v>806000000</v>
      </c>
      <c r="C164" s="2">
        <v>831000000</v>
      </c>
      <c r="D164" s="2">
        <v>842000000</v>
      </c>
      <c r="E164" s="2">
        <v>901000000</v>
      </c>
      <c r="F164" s="2">
        <v>816000000</v>
      </c>
    </row>
    <row r="165" spans="1:6" x14ac:dyDescent="0.2">
      <c r="A165" t="s">
        <v>170</v>
      </c>
      <c r="B165" s="2">
        <v>-433000000</v>
      </c>
      <c r="C165" s="2">
        <v>-352000000</v>
      </c>
      <c r="D165" s="2">
        <v>-221000000</v>
      </c>
      <c r="E165" s="2">
        <v>-390000000</v>
      </c>
      <c r="F165" s="2">
        <v>-404000000</v>
      </c>
    </row>
    <row r="166" spans="1:6" x14ac:dyDescent="0.2">
      <c r="A166" t="s">
        <v>171</v>
      </c>
      <c r="B166" s="2">
        <v>17609000000</v>
      </c>
      <c r="C166" s="2">
        <v>18091000000</v>
      </c>
      <c r="D166" s="2">
        <v>13859000000</v>
      </c>
      <c r="E166" s="2">
        <v>16109000000</v>
      </c>
      <c r="F166" s="2">
        <v>13294000000</v>
      </c>
    </row>
    <row r="167" spans="1:6" x14ac:dyDescent="0.2">
      <c r="A167" t="s">
        <v>172</v>
      </c>
      <c r="B167" s="2">
        <v>12131000000</v>
      </c>
      <c r="C167" s="2">
        <v>11795000000</v>
      </c>
      <c r="D167" s="2">
        <v>8331000000</v>
      </c>
      <c r="E167" s="2">
        <v>10605000000</v>
      </c>
      <c r="F167" s="2">
        <v>8485000000</v>
      </c>
    </row>
    <row r="168" spans="1:6" x14ac:dyDescent="0.2">
      <c r="A168" t="s">
        <v>173</v>
      </c>
      <c r="B168" s="2">
        <v>712000000</v>
      </c>
      <c r="C168" s="2">
        <v>1017000000</v>
      </c>
      <c r="D168" s="2">
        <v>1373000000</v>
      </c>
      <c r="E168" s="2">
        <v>858000000</v>
      </c>
      <c r="F168" s="2">
        <v>883000000</v>
      </c>
    </row>
    <row r="169" spans="1:6" x14ac:dyDescent="0.2">
      <c r="A169" t="s">
        <v>174</v>
      </c>
      <c r="B169" s="2">
        <v>641000000</v>
      </c>
      <c r="C169" s="2">
        <v>1025000000</v>
      </c>
      <c r="D169" s="2">
        <v>535000000</v>
      </c>
      <c r="E169" s="2">
        <v>592000000</v>
      </c>
      <c r="F169" s="2">
        <v>447000000</v>
      </c>
    </row>
    <row r="170" spans="1:6" x14ac:dyDescent="0.2">
      <c r="A170" t="s">
        <v>175</v>
      </c>
      <c r="B170" s="2">
        <v>503000000</v>
      </c>
      <c r="C170" s="2">
        <v>534000000</v>
      </c>
      <c r="D170" s="2">
        <v>34000000</v>
      </c>
      <c r="E170" s="2">
        <v>447000000</v>
      </c>
      <c r="F170" s="2">
        <v>26000000</v>
      </c>
    </row>
    <row r="171" spans="1:6" x14ac:dyDescent="0.2">
      <c r="A171" t="s">
        <v>176</v>
      </c>
      <c r="B171" s="2">
        <v>2799000000</v>
      </c>
      <c r="C171" s="2">
        <v>1882000000</v>
      </c>
      <c r="D171" s="2">
        <v>2015000000</v>
      </c>
      <c r="E171" s="2">
        <v>1786000000</v>
      </c>
      <c r="F171" s="2">
        <v>2207000000</v>
      </c>
    </row>
    <row r="172" spans="1:6" x14ac:dyDescent="0.2">
      <c r="A172" t="s">
        <v>177</v>
      </c>
      <c r="B172" s="2">
        <v>1256000000</v>
      </c>
      <c r="C172" s="2">
        <v>2311000000</v>
      </c>
      <c r="D172" s="2">
        <v>1891000000</v>
      </c>
      <c r="E172" s="2">
        <v>2461000000</v>
      </c>
      <c r="F172" s="2">
        <v>1853000000</v>
      </c>
    </row>
    <row r="173" spans="1:6" x14ac:dyDescent="0.2">
      <c r="A173" t="s">
        <v>178</v>
      </c>
      <c r="B173" s="2">
        <v>-433000000</v>
      </c>
      <c r="C173" s="2">
        <v>-473000000</v>
      </c>
      <c r="D173" s="2">
        <v>-320000000</v>
      </c>
      <c r="E173" s="2">
        <v>-640000000</v>
      </c>
      <c r="F173" s="2">
        <v>-607000000</v>
      </c>
    </row>
    <row r="174" spans="1:6" x14ac:dyDescent="0.2">
      <c r="A174" t="s">
        <v>179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B1DC-DADA-4219-B430-B4B35BB9CF38}">
  <dimension ref="A1:H89"/>
  <sheetViews>
    <sheetView zoomScale="128" workbookViewId="0">
      <selection activeCell="A85" sqref="A85"/>
    </sheetView>
  </sheetViews>
  <sheetFormatPr defaultRowHeight="12.75" x14ac:dyDescent="0.2"/>
  <cols>
    <col min="1" max="1" width="55.7109375" customWidth="1"/>
    <col min="2" max="2" width="16.5703125" customWidth="1"/>
    <col min="3" max="3" width="16.85546875" customWidth="1"/>
    <col min="4" max="4" width="17.42578125" customWidth="1"/>
    <col min="5" max="5" width="17.5703125" customWidth="1"/>
    <col min="6" max="6" width="19" customWidth="1"/>
    <col min="7" max="7" width="17" customWidth="1"/>
    <col min="8" max="8" width="13.42578125" bestFit="1" customWidth="1"/>
    <col min="9" max="9" width="14.5703125" customWidth="1"/>
  </cols>
  <sheetData>
    <row r="1" spans="1:7" x14ac:dyDescent="0.2">
      <c r="A1" s="10" t="s">
        <v>180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/>
    </row>
    <row r="2" spans="1:7" x14ac:dyDescent="0.2">
      <c r="A2" s="9" t="s">
        <v>181</v>
      </c>
      <c r="B2" s="11">
        <v>12293000000</v>
      </c>
      <c r="C2" s="11">
        <v>9854000000</v>
      </c>
      <c r="D2" s="11">
        <v>10765000000</v>
      </c>
      <c r="E2" s="11">
        <v>10644000000</v>
      </c>
      <c r="F2" s="11">
        <v>10183000000</v>
      </c>
      <c r="G2" s="11"/>
    </row>
    <row r="3" spans="1:7" x14ac:dyDescent="0.2">
      <c r="A3" s="9" t="s">
        <v>182</v>
      </c>
      <c r="B3" s="11">
        <v>23640000000</v>
      </c>
      <c r="C3" s="11">
        <v>19844000000</v>
      </c>
      <c r="D3" s="11">
        <v>21234000000</v>
      </c>
      <c r="E3" s="11">
        <v>22511000000</v>
      </c>
      <c r="F3" s="11">
        <v>21427000000</v>
      </c>
      <c r="G3" s="11"/>
    </row>
    <row r="4" spans="1:7" x14ac:dyDescent="0.2">
      <c r="A4" s="9" t="s">
        <v>183</v>
      </c>
      <c r="B4" s="11">
        <v>23640000000</v>
      </c>
      <c r="C4" s="11">
        <v>19844000000</v>
      </c>
      <c r="D4" s="11">
        <v>21234000000</v>
      </c>
      <c r="E4" s="11">
        <v>22511000000</v>
      </c>
      <c r="F4" s="11">
        <v>21427000000</v>
      </c>
      <c r="G4" s="11"/>
    </row>
    <row r="5" spans="1:7" x14ac:dyDescent="0.2">
      <c r="A5" s="9" t="s">
        <v>184</v>
      </c>
      <c r="B5" s="11">
        <v>-11347000000</v>
      </c>
      <c r="C5" s="11">
        <v>-9990000000</v>
      </c>
      <c r="D5" s="11">
        <v>-10469000000</v>
      </c>
      <c r="E5" s="11">
        <v>-11867000000</v>
      </c>
      <c r="F5" s="11">
        <v>-11244000000</v>
      </c>
      <c r="G5" s="11"/>
    </row>
    <row r="6" spans="1:7" x14ac:dyDescent="0.2">
      <c r="A6" s="9" t="s">
        <v>185</v>
      </c>
      <c r="B6" s="11">
        <v>-11347000000</v>
      </c>
      <c r="C6" s="11">
        <v>-9990000000</v>
      </c>
      <c r="D6" s="11">
        <v>-10469000000</v>
      </c>
      <c r="E6" s="11">
        <v>-11867000000</v>
      </c>
      <c r="F6" s="11">
        <v>-11244000000</v>
      </c>
      <c r="G6" s="11"/>
    </row>
    <row r="7" spans="1:7" x14ac:dyDescent="0.2">
      <c r="A7" s="9" t="s">
        <v>186</v>
      </c>
      <c r="B7" s="11">
        <v>-9620000000</v>
      </c>
      <c r="C7" s="11">
        <v>-8993000000</v>
      </c>
      <c r="D7" s="11">
        <v>-8776000000</v>
      </c>
      <c r="E7" s="11">
        <v>-9915000000</v>
      </c>
      <c r="F7" s="11">
        <v>-9904000000</v>
      </c>
      <c r="G7" s="11"/>
    </row>
    <row r="8" spans="1:7" x14ac:dyDescent="0.2">
      <c r="A8" s="9" t="s">
        <v>187</v>
      </c>
      <c r="B8" s="11">
        <v>-9691000000</v>
      </c>
      <c r="C8" s="11">
        <v>-8996000000</v>
      </c>
      <c r="D8" s="11">
        <v>-8810000000</v>
      </c>
      <c r="E8" s="11">
        <v>-10015000000</v>
      </c>
      <c r="F8" s="11">
        <v>-9914000000</v>
      </c>
      <c r="G8" s="11"/>
    </row>
    <row r="9" spans="1:7" x14ac:dyDescent="0.2">
      <c r="A9" s="9" t="s">
        <v>188</v>
      </c>
      <c r="B9" s="11">
        <v>-1652000000</v>
      </c>
      <c r="C9" s="11">
        <v>-1461000000</v>
      </c>
      <c r="D9" s="11">
        <v>-1481000000</v>
      </c>
      <c r="E9" s="11">
        <v>-1651000000</v>
      </c>
      <c r="F9" s="11">
        <v>-1839000000</v>
      </c>
      <c r="G9" s="9"/>
    </row>
    <row r="10" spans="1:7" x14ac:dyDescent="0.2">
      <c r="A10" s="9" t="s">
        <v>189</v>
      </c>
      <c r="B10" s="11">
        <v>-8039000000</v>
      </c>
      <c r="C10" s="11">
        <v>-7535000000</v>
      </c>
      <c r="D10" s="11">
        <v>-7329000000</v>
      </c>
      <c r="E10" s="11">
        <v>-8364000000</v>
      </c>
      <c r="F10" s="11">
        <v>-8075000000</v>
      </c>
      <c r="G10" s="11"/>
    </row>
    <row r="11" spans="1:7" x14ac:dyDescent="0.2">
      <c r="A11" s="9" t="s">
        <v>190</v>
      </c>
      <c r="B11" s="11">
        <v>9000000</v>
      </c>
      <c r="C11" s="11">
        <v>18000000</v>
      </c>
      <c r="D11" s="11">
        <v>14000000</v>
      </c>
      <c r="E11" s="11">
        <v>7000000</v>
      </c>
      <c r="F11" s="11">
        <v>7000000</v>
      </c>
      <c r="G11" s="9"/>
    </row>
    <row r="12" spans="1:7" x14ac:dyDescent="0.2">
      <c r="A12" s="9" t="s">
        <v>191</v>
      </c>
      <c r="B12" s="11">
        <v>9000000</v>
      </c>
      <c r="C12" s="11">
        <v>18000000</v>
      </c>
      <c r="D12" s="11">
        <v>14000000</v>
      </c>
      <c r="E12" s="11">
        <v>7000000</v>
      </c>
      <c r="F12" s="11">
        <v>7000000</v>
      </c>
      <c r="G12" s="9"/>
    </row>
    <row r="13" spans="1:7" x14ac:dyDescent="0.2">
      <c r="A13" s="9" t="s">
        <v>192</v>
      </c>
      <c r="B13" s="11">
        <v>62000000</v>
      </c>
      <c r="C13" s="11">
        <v>-15000000</v>
      </c>
      <c r="D13" s="11">
        <v>20000000</v>
      </c>
      <c r="E13" s="11">
        <v>93000000</v>
      </c>
      <c r="F13" s="11">
        <v>3000000</v>
      </c>
      <c r="G13" s="11"/>
    </row>
    <row r="14" spans="1:7" x14ac:dyDescent="0.2">
      <c r="A14" s="9" t="s">
        <v>193</v>
      </c>
      <c r="B14" s="11">
        <v>196000000</v>
      </c>
      <c r="C14" s="11">
        <v>104000000</v>
      </c>
      <c r="D14" s="11">
        <v>96000000</v>
      </c>
      <c r="E14" s="11">
        <v>275000000</v>
      </c>
      <c r="F14" s="11">
        <v>140000000</v>
      </c>
      <c r="G14" s="11"/>
    </row>
    <row r="15" spans="1:7" x14ac:dyDescent="0.2">
      <c r="A15" s="9" t="s">
        <v>194</v>
      </c>
      <c r="B15" s="11">
        <v>-134000000</v>
      </c>
      <c r="C15" s="11">
        <v>-119000000</v>
      </c>
      <c r="D15" s="11">
        <v>-76000000</v>
      </c>
      <c r="E15" s="11">
        <v>-182000000</v>
      </c>
      <c r="F15" s="11">
        <v>-137000000</v>
      </c>
      <c r="G15" s="11"/>
    </row>
    <row r="16" spans="1:7" x14ac:dyDescent="0.2">
      <c r="A16" s="9" t="s">
        <v>195</v>
      </c>
      <c r="B16" s="9" t="s">
        <v>17</v>
      </c>
      <c r="C16" s="9" t="s">
        <v>17</v>
      </c>
      <c r="D16" s="9" t="s">
        <v>17</v>
      </c>
      <c r="E16" s="9" t="s">
        <v>17</v>
      </c>
      <c r="F16" s="9" t="s">
        <v>17</v>
      </c>
      <c r="G16" s="9"/>
    </row>
    <row r="17" spans="1:8" x14ac:dyDescent="0.2">
      <c r="A17" s="9" t="s">
        <v>196</v>
      </c>
      <c r="B17" s="11">
        <v>2673000000</v>
      </c>
      <c r="C17" s="11">
        <v>861000000</v>
      </c>
      <c r="D17" s="11">
        <v>1989000000</v>
      </c>
      <c r="E17" s="11">
        <v>729000000</v>
      </c>
      <c r="F17" s="11">
        <v>279000000</v>
      </c>
      <c r="G17" s="11"/>
    </row>
    <row r="18" spans="1:8" x14ac:dyDescent="0.2">
      <c r="A18" s="9" t="s">
        <v>197</v>
      </c>
      <c r="B18" s="11">
        <v>-115000000</v>
      </c>
      <c r="C18" s="11">
        <v>-286000000</v>
      </c>
      <c r="D18" s="11">
        <v>-200000000</v>
      </c>
      <c r="E18" s="11">
        <v>-341000000</v>
      </c>
      <c r="F18" s="11">
        <v>-216000000</v>
      </c>
      <c r="G18" s="11"/>
    </row>
    <row r="19" spans="1:8" x14ac:dyDescent="0.2">
      <c r="A19" s="9" t="s">
        <v>198</v>
      </c>
      <c r="B19" s="11">
        <v>-97000000</v>
      </c>
      <c r="C19" s="11">
        <v>-138000000</v>
      </c>
      <c r="D19" s="11">
        <v>-162000000</v>
      </c>
      <c r="E19" s="11">
        <v>-115000000</v>
      </c>
      <c r="F19" s="11">
        <v>-83000000</v>
      </c>
      <c r="G19" s="11"/>
    </row>
    <row r="20" spans="1:8" x14ac:dyDescent="0.2">
      <c r="A20" s="9" t="s">
        <v>199</v>
      </c>
      <c r="B20" s="11">
        <v>-110000000</v>
      </c>
      <c r="C20" s="11">
        <v>-139000000</v>
      </c>
      <c r="D20" s="11">
        <v>-165000000</v>
      </c>
      <c r="E20" s="11">
        <v>-114000000</v>
      </c>
      <c r="F20" s="11">
        <v>-121000000</v>
      </c>
      <c r="G20" s="11"/>
    </row>
    <row r="21" spans="1:8" x14ac:dyDescent="0.2">
      <c r="A21" s="9" t="s">
        <v>200</v>
      </c>
      <c r="B21" s="11">
        <v>-160000000</v>
      </c>
      <c r="C21" s="11">
        <v>-164000000</v>
      </c>
      <c r="D21" s="11">
        <v>-177000000</v>
      </c>
      <c r="E21" s="11">
        <v>-137000000</v>
      </c>
      <c r="F21" s="11">
        <v>-160000000</v>
      </c>
      <c r="G21" s="11"/>
      <c r="H21" s="3"/>
    </row>
    <row r="22" spans="1:8" x14ac:dyDescent="0.2">
      <c r="A22" s="9" t="s">
        <v>201</v>
      </c>
      <c r="B22" s="11">
        <v>50000000</v>
      </c>
      <c r="C22" s="11">
        <v>25000000</v>
      </c>
      <c r="D22" s="11">
        <v>12000000</v>
      </c>
      <c r="E22" s="11">
        <v>23000000</v>
      </c>
      <c r="F22" s="11">
        <v>39000000</v>
      </c>
      <c r="G22" s="11"/>
    </row>
    <row r="23" spans="1:8" x14ac:dyDescent="0.2">
      <c r="A23" s="9" t="s">
        <v>202</v>
      </c>
      <c r="B23" s="11">
        <v>13000000</v>
      </c>
      <c r="C23" s="11">
        <v>1000000</v>
      </c>
      <c r="D23" s="11">
        <v>3000000</v>
      </c>
      <c r="E23" s="11">
        <v>-1000000</v>
      </c>
      <c r="F23" s="11">
        <v>38000000</v>
      </c>
      <c r="G23" s="9"/>
    </row>
    <row r="24" spans="1:8" x14ac:dyDescent="0.2">
      <c r="A24" s="9" t="s">
        <v>203</v>
      </c>
      <c r="B24" s="11">
        <v>14000000</v>
      </c>
      <c r="C24" s="11">
        <v>4000000</v>
      </c>
      <c r="D24" s="11">
        <v>7000000</v>
      </c>
      <c r="E24" s="11">
        <v>16000000</v>
      </c>
      <c r="F24" s="11">
        <v>40000000</v>
      </c>
      <c r="G24" s="9"/>
    </row>
    <row r="25" spans="1:8" x14ac:dyDescent="0.2">
      <c r="A25" s="9" t="s">
        <v>204</v>
      </c>
      <c r="B25" s="11">
        <v>-1000000</v>
      </c>
      <c r="C25" s="11">
        <v>-3000000</v>
      </c>
      <c r="D25" s="11">
        <v>-4000000</v>
      </c>
      <c r="E25" s="11">
        <v>-17000000</v>
      </c>
      <c r="F25" s="11">
        <v>-2000000</v>
      </c>
      <c r="G25" s="9"/>
    </row>
    <row r="26" spans="1:8" x14ac:dyDescent="0.2">
      <c r="A26" s="9" t="s">
        <v>205</v>
      </c>
      <c r="B26" s="11">
        <v>-5000000</v>
      </c>
      <c r="C26" s="11">
        <v>-37000000</v>
      </c>
      <c r="D26" s="11">
        <v>-37000000</v>
      </c>
      <c r="E26" s="11">
        <v>-166000000</v>
      </c>
      <c r="F26" s="11">
        <v>-121000000</v>
      </c>
      <c r="G26" s="9"/>
    </row>
    <row r="27" spans="1:8" x14ac:dyDescent="0.2">
      <c r="A27" s="9" t="s">
        <v>206</v>
      </c>
      <c r="B27" s="11">
        <v>-5000000</v>
      </c>
      <c r="C27" s="11">
        <v>-37000000</v>
      </c>
      <c r="D27" s="11">
        <v>-37000000</v>
      </c>
      <c r="E27" s="11">
        <v>-166000000</v>
      </c>
      <c r="F27" s="11">
        <v>-121000000</v>
      </c>
      <c r="G27" s="9"/>
    </row>
    <row r="28" spans="1:8" x14ac:dyDescent="0.2">
      <c r="A28" s="9" t="s">
        <v>207</v>
      </c>
      <c r="B28" s="11">
        <v>-13000000</v>
      </c>
      <c r="C28" s="11">
        <v>-111000000</v>
      </c>
      <c r="D28" s="11">
        <v>-1000000</v>
      </c>
      <c r="E28" s="11">
        <v>-60000000</v>
      </c>
      <c r="F28" s="11">
        <v>-12000000</v>
      </c>
      <c r="G28" s="11"/>
    </row>
    <row r="29" spans="1:8" x14ac:dyDescent="0.2">
      <c r="A29" s="9" t="s">
        <v>208</v>
      </c>
      <c r="B29" s="11">
        <v>5000000</v>
      </c>
      <c r="C29" s="11">
        <v>3000000</v>
      </c>
      <c r="D29" s="11">
        <v>5000000</v>
      </c>
      <c r="E29" s="11">
        <v>3000000</v>
      </c>
      <c r="F29" s="11">
        <v>7000000</v>
      </c>
      <c r="G29" s="11"/>
    </row>
    <row r="30" spans="1:8" x14ac:dyDescent="0.2">
      <c r="A30" s="9" t="s">
        <v>209</v>
      </c>
      <c r="B30" s="11">
        <v>-18000000</v>
      </c>
      <c r="C30" s="11">
        <v>-114000000</v>
      </c>
      <c r="D30" s="11">
        <v>-6000000</v>
      </c>
      <c r="E30" s="11">
        <v>-63000000</v>
      </c>
      <c r="F30" s="11">
        <v>-19000000</v>
      </c>
      <c r="G30" s="11"/>
    </row>
    <row r="31" spans="1:8" x14ac:dyDescent="0.2">
      <c r="A31" s="9" t="s">
        <v>210</v>
      </c>
      <c r="B31" s="9" t="s">
        <v>17</v>
      </c>
      <c r="C31" s="9" t="s">
        <v>17</v>
      </c>
      <c r="D31" s="9" t="s">
        <v>17</v>
      </c>
      <c r="E31" s="9" t="s">
        <v>17</v>
      </c>
      <c r="F31" s="9" t="s">
        <v>17</v>
      </c>
      <c r="G31" s="9"/>
    </row>
    <row r="32" spans="1:8" x14ac:dyDescent="0.2">
      <c r="A32" s="9" t="s">
        <v>211</v>
      </c>
      <c r="B32" s="9" t="s">
        <v>17</v>
      </c>
      <c r="C32" s="9" t="s">
        <v>17</v>
      </c>
      <c r="D32" s="9" t="s">
        <v>17</v>
      </c>
      <c r="E32" s="9" t="s">
        <v>17</v>
      </c>
      <c r="F32" s="9" t="s">
        <v>17</v>
      </c>
      <c r="G32" s="9"/>
    </row>
    <row r="33" spans="1:7" x14ac:dyDescent="0.2">
      <c r="A33" s="9" t="s">
        <v>212</v>
      </c>
      <c r="B33" s="9" t="s">
        <v>17</v>
      </c>
      <c r="C33" s="9" t="s">
        <v>17</v>
      </c>
      <c r="D33" s="9" t="s">
        <v>17</v>
      </c>
      <c r="E33" s="9" t="s">
        <v>17</v>
      </c>
      <c r="F33" s="9" t="s">
        <v>17</v>
      </c>
      <c r="G33" s="9"/>
    </row>
    <row r="34" spans="1:7" x14ac:dyDescent="0.2">
      <c r="A34" s="9" t="s">
        <v>213</v>
      </c>
      <c r="B34" s="11">
        <v>2558000000</v>
      </c>
      <c r="C34" s="11">
        <v>575000000</v>
      </c>
      <c r="D34" s="11">
        <v>1852000000</v>
      </c>
      <c r="E34" s="11">
        <v>388000000</v>
      </c>
      <c r="F34" s="11">
        <v>65000000</v>
      </c>
      <c r="G34" s="11"/>
    </row>
    <row r="35" spans="1:7" x14ac:dyDescent="0.2">
      <c r="A35" s="9" t="s">
        <v>214</v>
      </c>
      <c r="B35" s="11">
        <v>-640000000</v>
      </c>
      <c r="C35" s="11">
        <v>-146000000</v>
      </c>
      <c r="D35" s="11">
        <v>-360000000</v>
      </c>
      <c r="E35" s="11">
        <v>-134000000</v>
      </c>
      <c r="F35" s="11">
        <v>-124000000</v>
      </c>
      <c r="G35" s="11"/>
    </row>
    <row r="36" spans="1:7" x14ac:dyDescent="0.2">
      <c r="A36" s="9" t="s">
        <v>215</v>
      </c>
      <c r="B36" s="11">
        <v>1918000000</v>
      </c>
      <c r="C36" s="11">
        <v>429000000</v>
      </c>
      <c r="D36" s="11">
        <v>1492000000</v>
      </c>
      <c r="E36" s="11">
        <v>254000000</v>
      </c>
      <c r="F36" s="11">
        <v>-58000000</v>
      </c>
      <c r="G36" s="11"/>
    </row>
    <row r="37" spans="1:7" x14ac:dyDescent="0.2">
      <c r="A37" s="9" t="s">
        <v>216</v>
      </c>
      <c r="B37" s="11">
        <v>59000000</v>
      </c>
      <c r="C37" s="11">
        <v>13000000</v>
      </c>
      <c r="D37" s="11">
        <v>666000000</v>
      </c>
      <c r="E37" s="11">
        <v>384000000</v>
      </c>
      <c r="F37" s="11">
        <v>44000000</v>
      </c>
      <c r="G37" s="11"/>
    </row>
    <row r="38" spans="1:7" x14ac:dyDescent="0.2">
      <c r="A38" s="9" t="s">
        <v>217</v>
      </c>
      <c r="B38" s="11">
        <v>1977000000</v>
      </c>
      <c r="C38" s="11">
        <v>443000000</v>
      </c>
      <c r="D38" s="11">
        <v>2158000000</v>
      </c>
      <c r="E38" s="11">
        <v>638000000</v>
      </c>
      <c r="F38" s="11">
        <v>-14000000</v>
      </c>
      <c r="G38" s="11"/>
    </row>
    <row r="39" spans="1:7" x14ac:dyDescent="0.2">
      <c r="A39" s="9" t="s">
        <v>218</v>
      </c>
      <c r="B39" s="11">
        <v>-2000000</v>
      </c>
      <c r="C39" s="11">
        <v>-11000000</v>
      </c>
      <c r="D39" s="11">
        <v>-42000000</v>
      </c>
      <c r="E39" s="11">
        <v>-26000000</v>
      </c>
      <c r="F39" s="11">
        <v>-61000000</v>
      </c>
      <c r="G39" s="11"/>
    </row>
    <row r="40" spans="1:7" x14ac:dyDescent="0.2">
      <c r="A40" s="9" t="s">
        <v>219</v>
      </c>
      <c r="B40" s="11">
        <v>1976000000</v>
      </c>
      <c r="C40" s="11">
        <v>432000000</v>
      </c>
      <c r="D40" s="11">
        <v>2116000000</v>
      </c>
      <c r="E40" s="11">
        <v>612000000</v>
      </c>
      <c r="F40" s="11">
        <v>-75000000</v>
      </c>
      <c r="G40" s="11"/>
    </row>
    <row r="41" spans="1:7" x14ac:dyDescent="0.2">
      <c r="A41" s="9" t="s">
        <v>220</v>
      </c>
      <c r="B41" s="11">
        <v>1976000000</v>
      </c>
      <c r="C41" s="11">
        <v>432000000</v>
      </c>
      <c r="D41" s="11">
        <v>2116000000</v>
      </c>
      <c r="E41" s="11">
        <v>612000000</v>
      </c>
      <c r="F41" s="11">
        <v>-75000000</v>
      </c>
      <c r="G41" s="11"/>
    </row>
    <row r="42" spans="1:7" x14ac:dyDescent="0.2">
      <c r="A42" s="9" t="s">
        <v>221</v>
      </c>
      <c r="B42" s="11">
        <v>1976000000</v>
      </c>
      <c r="C42" s="11">
        <v>432000000</v>
      </c>
      <c r="D42" s="11">
        <v>2116000000</v>
      </c>
      <c r="E42" s="11">
        <v>612000000</v>
      </c>
      <c r="F42" s="11">
        <v>-75000000</v>
      </c>
      <c r="G42" s="11"/>
    </row>
    <row r="43" spans="1:7" x14ac:dyDescent="0.2">
      <c r="A43" s="9" t="s">
        <v>222</v>
      </c>
      <c r="B43" s="9" t="s">
        <v>17</v>
      </c>
      <c r="C43" s="9" t="s">
        <v>17</v>
      </c>
      <c r="D43" s="9" t="s">
        <v>17</v>
      </c>
      <c r="E43" s="9" t="s">
        <v>17</v>
      </c>
      <c r="F43" s="9" t="s">
        <v>17</v>
      </c>
      <c r="G43" s="9"/>
    </row>
    <row r="44" spans="1:7" x14ac:dyDescent="0.2">
      <c r="A44" s="9" t="s">
        <v>223</v>
      </c>
      <c r="B44" s="9" t="s">
        <v>17</v>
      </c>
      <c r="C44" s="9" t="s">
        <v>17</v>
      </c>
      <c r="D44" s="9" t="s">
        <v>17</v>
      </c>
      <c r="E44" s="9" t="s">
        <v>17</v>
      </c>
      <c r="F44" s="9" t="s">
        <v>17</v>
      </c>
      <c r="G44" s="9"/>
    </row>
    <row r="45" spans="1:7" x14ac:dyDescent="0.2">
      <c r="A45" s="9" t="s">
        <v>224</v>
      </c>
      <c r="B45" s="11">
        <v>23640000000</v>
      </c>
      <c r="C45" s="11">
        <v>19844000000</v>
      </c>
      <c r="D45" s="11">
        <v>21234000000</v>
      </c>
      <c r="E45" s="11">
        <v>22511000000</v>
      </c>
      <c r="F45" s="11">
        <v>21427000000</v>
      </c>
      <c r="G45" s="11"/>
    </row>
    <row r="46" spans="1:7" x14ac:dyDescent="0.2">
      <c r="A46" s="9" t="s">
        <v>225</v>
      </c>
      <c r="B46" s="11">
        <v>2660000000</v>
      </c>
      <c r="C46" s="11">
        <v>751000000</v>
      </c>
      <c r="D46" s="11">
        <v>1986000000</v>
      </c>
      <c r="E46" s="11">
        <v>669000000</v>
      </c>
      <c r="F46" s="11">
        <v>268000000</v>
      </c>
      <c r="G46" s="11"/>
    </row>
    <row r="47" spans="1:7" x14ac:dyDescent="0.2">
      <c r="A47" s="9" t="s">
        <v>226</v>
      </c>
      <c r="B47" s="11">
        <v>0.25</v>
      </c>
      <c r="C47" s="11">
        <v>0.254</v>
      </c>
      <c r="D47" s="11">
        <v>0.19400000000000001</v>
      </c>
      <c r="E47" s="11">
        <v>0.34499999999999997</v>
      </c>
      <c r="F47" s="11">
        <v>1.8919999999999999</v>
      </c>
      <c r="G47" s="9"/>
    </row>
    <row r="48" spans="1:7" x14ac:dyDescent="0.2">
      <c r="A48" s="9" t="s">
        <v>227</v>
      </c>
      <c r="B48" s="11">
        <v>3845000000</v>
      </c>
      <c r="C48" s="11">
        <v>2079000000</v>
      </c>
      <c r="D48" s="11">
        <v>3066000000</v>
      </c>
      <c r="E48" s="11">
        <v>1874000000</v>
      </c>
      <c r="F48" s="11">
        <v>1358000000</v>
      </c>
      <c r="G48" s="9"/>
    </row>
    <row r="49" spans="1:7" x14ac:dyDescent="0.2">
      <c r="A49" s="9" t="s">
        <v>228</v>
      </c>
      <c r="B49" s="9" t="s">
        <v>17</v>
      </c>
      <c r="C49" s="9" t="s">
        <v>17</v>
      </c>
      <c r="D49" s="9" t="s">
        <v>17</v>
      </c>
      <c r="E49" s="9" t="s">
        <v>17</v>
      </c>
      <c r="F49" s="9" t="s">
        <v>17</v>
      </c>
      <c r="G49" s="9"/>
    </row>
    <row r="50" spans="1:7" x14ac:dyDescent="0.2">
      <c r="A50" s="9" t="s">
        <v>229</v>
      </c>
      <c r="B50" s="9" t="s">
        <v>17</v>
      </c>
      <c r="C50" s="9" t="s">
        <v>17</v>
      </c>
      <c r="D50" s="9" t="s">
        <v>17</v>
      </c>
      <c r="E50" s="9" t="s">
        <v>17</v>
      </c>
      <c r="F50" s="9" t="s">
        <v>17</v>
      </c>
      <c r="G50" s="9"/>
    </row>
    <row r="51" spans="1:7" x14ac:dyDescent="0.2">
      <c r="A51" s="9" t="s">
        <v>230</v>
      </c>
      <c r="B51" s="9" t="s">
        <v>17</v>
      </c>
      <c r="C51" s="9" t="s">
        <v>17</v>
      </c>
      <c r="D51" s="9" t="s">
        <v>17</v>
      </c>
      <c r="E51" s="9" t="s">
        <v>17</v>
      </c>
      <c r="F51" s="9" t="s">
        <v>17</v>
      </c>
      <c r="G51" s="9"/>
    </row>
    <row r="52" spans="1:7" x14ac:dyDescent="0.2">
      <c r="A52" s="9" t="s">
        <v>231</v>
      </c>
      <c r="B52" s="9" t="s">
        <v>17</v>
      </c>
      <c r="C52" s="9" t="s">
        <v>17</v>
      </c>
      <c r="D52" s="9" t="s">
        <v>17</v>
      </c>
      <c r="E52" s="9" t="s">
        <v>17</v>
      </c>
      <c r="F52" s="11">
        <v>-142000000</v>
      </c>
      <c r="G52" s="11"/>
    </row>
    <row r="53" spans="1:7" x14ac:dyDescent="0.2">
      <c r="A53" s="9" t="s">
        <v>232</v>
      </c>
      <c r="B53" s="11">
        <v>-1214000000</v>
      </c>
      <c r="C53" s="11">
        <v>-1245000000</v>
      </c>
      <c r="D53" s="11">
        <v>-1767000000</v>
      </c>
      <c r="E53" s="11">
        <v>-1221000000</v>
      </c>
      <c r="F53" s="11">
        <v>-1095000000</v>
      </c>
      <c r="G53" s="9"/>
    </row>
    <row r="54" spans="1:7" x14ac:dyDescent="0.2">
      <c r="A54" s="9" t="s">
        <v>233</v>
      </c>
      <c r="B54" s="11">
        <v>-1214000000</v>
      </c>
      <c r="C54" s="11">
        <v>-1245000000</v>
      </c>
      <c r="D54" s="11">
        <v>-1767000000</v>
      </c>
      <c r="E54" s="11">
        <v>-1221000000</v>
      </c>
      <c r="F54" s="11">
        <v>-1095000000</v>
      </c>
      <c r="G54" s="11"/>
    </row>
    <row r="55" spans="1:7" x14ac:dyDescent="0.2">
      <c r="A55" s="9" t="s">
        <v>234</v>
      </c>
      <c r="B55" s="9" t="s">
        <v>17</v>
      </c>
      <c r="C55" s="9" t="s">
        <v>17</v>
      </c>
      <c r="D55" s="11">
        <v>-1671000000</v>
      </c>
      <c r="E55" s="11">
        <v>-1119000000</v>
      </c>
      <c r="F55" s="9" t="s">
        <v>17</v>
      </c>
      <c r="G55" s="9"/>
    </row>
    <row r="56" spans="1:7" x14ac:dyDescent="0.2">
      <c r="A56" s="9" t="s">
        <v>235</v>
      </c>
      <c r="B56" s="9" t="s">
        <v>17</v>
      </c>
      <c r="C56" s="9" t="s">
        <v>17</v>
      </c>
      <c r="D56" s="11">
        <v>-96000000</v>
      </c>
      <c r="E56" s="11">
        <v>-102000000</v>
      </c>
      <c r="F56" s="9" t="s">
        <v>17</v>
      </c>
      <c r="G56" s="9"/>
    </row>
    <row r="57" spans="1:7" x14ac:dyDescent="0.2">
      <c r="A57" s="9" t="s">
        <v>236</v>
      </c>
      <c r="B57" s="9" t="s">
        <v>17</v>
      </c>
      <c r="C57" s="9" t="s">
        <v>17</v>
      </c>
      <c r="D57" s="9" t="s">
        <v>17</v>
      </c>
      <c r="E57" s="9" t="s">
        <v>17</v>
      </c>
      <c r="F57" s="9" t="s">
        <v>17</v>
      </c>
      <c r="G57" s="9"/>
    </row>
    <row r="58" spans="1:7" x14ac:dyDescent="0.2">
      <c r="A58" s="9" t="s">
        <v>237</v>
      </c>
      <c r="B58" s="9" t="s">
        <v>17</v>
      </c>
      <c r="C58" s="11">
        <v>-119000000</v>
      </c>
      <c r="D58" s="11">
        <v>-8000000</v>
      </c>
      <c r="E58" s="11">
        <v>-150000000</v>
      </c>
      <c r="F58" s="11">
        <v>-74000000</v>
      </c>
      <c r="G58" s="11"/>
    </row>
    <row r="59" spans="1:7" x14ac:dyDescent="0.2">
      <c r="A59" s="9" t="s">
        <v>238</v>
      </c>
      <c r="B59" s="9" t="s">
        <v>17</v>
      </c>
      <c r="C59" s="11">
        <v>-119000000</v>
      </c>
      <c r="D59" s="11">
        <v>-8000000</v>
      </c>
      <c r="E59" s="11">
        <v>-150000000</v>
      </c>
      <c r="F59" s="11">
        <v>-74000000</v>
      </c>
      <c r="G59" s="11"/>
    </row>
    <row r="60" spans="1:7" x14ac:dyDescent="0.2">
      <c r="A60" s="9" t="s">
        <v>239</v>
      </c>
      <c r="B60" s="9" t="s">
        <v>17</v>
      </c>
      <c r="C60" s="9" t="s">
        <v>17</v>
      </c>
      <c r="D60" s="9" t="s">
        <v>17</v>
      </c>
      <c r="E60" s="9" t="s">
        <v>17</v>
      </c>
      <c r="F60" s="9" t="s">
        <v>17</v>
      </c>
      <c r="G60" s="9"/>
    </row>
    <row r="61" spans="1:7" x14ac:dyDescent="0.2">
      <c r="A61" s="9" t="s">
        <v>240</v>
      </c>
      <c r="B61" s="9" t="s">
        <v>17</v>
      </c>
      <c r="C61" s="9" t="s">
        <v>17</v>
      </c>
      <c r="D61" s="9" t="s">
        <v>17</v>
      </c>
      <c r="E61" s="9" t="s">
        <v>17</v>
      </c>
      <c r="F61" s="9" t="s">
        <v>17</v>
      </c>
      <c r="G61" s="9"/>
    </row>
    <row r="62" spans="1:7" x14ac:dyDescent="0.2">
      <c r="A62" s="9" t="s">
        <v>241</v>
      </c>
      <c r="B62" s="9" t="s">
        <v>17</v>
      </c>
      <c r="C62" s="9" t="s">
        <v>17</v>
      </c>
      <c r="D62" s="9" t="s">
        <v>17</v>
      </c>
      <c r="E62" s="9" t="s">
        <v>17</v>
      </c>
      <c r="F62" s="9" t="s">
        <v>17</v>
      </c>
      <c r="G62" s="9"/>
    </row>
    <row r="63" spans="1:7" x14ac:dyDescent="0.2">
      <c r="A63" s="9" t="s">
        <v>242</v>
      </c>
      <c r="B63" s="11">
        <v>10</v>
      </c>
      <c r="C63" s="11">
        <v>2.21</v>
      </c>
      <c r="D63" s="11">
        <v>10.9</v>
      </c>
      <c r="E63" s="11">
        <v>3.34</v>
      </c>
      <c r="F63" s="11">
        <v>-0.42</v>
      </c>
      <c r="G63" s="11"/>
    </row>
    <row r="64" spans="1:7" x14ac:dyDescent="0.2">
      <c r="A64" s="9" t="s">
        <v>243</v>
      </c>
      <c r="B64" s="11">
        <v>9.6999999999999993</v>
      </c>
      <c r="C64" s="11">
        <v>2.15</v>
      </c>
      <c r="D64" s="11">
        <v>7.47</v>
      </c>
      <c r="E64" s="11">
        <v>1.25</v>
      </c>
      <c r="F64" s="11">
        <v>-0.67</v>
      </c>
      <c r="G64" s="11"/>
    </row>
    <row r="65" spans="1:7" x14ac:dyDescent="0.2">
      <c r="A65" s="9" t="s">
        <v>244</v>
      </c>
      <c r="B65" s="11">
        <v>0.3</v>
      </c>
      <c r="C65" s="11">
        <v>0.06</v>
      </c>
      <c r="D65" s="11">
        <v>3.43</v>
      </c>
      <c r="E65" s="11">
        <v>2.09</v>
      </c>
      <c r="F65" s="11">
        <v>0.25</v>
      </c>
      <c r="G65" s="11"/>
    </row>
    <row r="66" spans="1:7" x14ac:dyDescent="0.2">
      <c r="A66" s="9" t="s">
        <v>245</v>
      </c>
      <c r="B66" s="11">
        <v>10</v>
      </c>
      <c r="C66" s="11">
        <v>2.21</v>
      </c>
      <c r="D66" s="11">
        <v>10.9</v>
      </c>
      <c r="E66" s="11">
        <v>3.34</v>
      </c>
      <c r="F66" s="11">
        <v>-0.42</v>
      </c>
      <c r="G66" s="11"/>
    </row>
    <row r="67" spans="1:7" x14ac:dyDescent="0.2">
      <c r="A67" s="9" t="s">
        <v>246</v>
      </c>
      <c r="B67" s="11">
        <v>9.6999999999999993</v>
      </c>
      <c r="C67" s="11">
        <v>2.15</v>
      </c>
      <c r="D67" s="11">
        <v>7.47</v>
      </c>
      <c r="E67" s="11">
        <v>1.25</v>
      </c>
      <c r="F67" s="11">
        <v>-0.67</v>
      </c>
      <c r="G67" s="11"/>
    </row>
    <row r="68" spans="1:7" x14ac:dyDescent="0.2">
      <c r="A68" s="9" t="s">
        <v>247</v>
      </c>
      <c r="B68" s="11">
        <v>0.3</v>
      </c>
      <c r="C68" s="11">
        <v>0.06</v>
      </c>
      <c r="D68" s="11">
        <v>3.43</v>
      </c>
      <c r="E68" s="11">
        <v>2.09</v>
      </c>
      <c r="F68" s="11">
        <v>0.25</v>
      </c>
      <c r="G68" s="11"/>
    </row>
    <row r="69" spans="1:7" x14ac:dyDescent="0.2">
      <c r="A69" s="9" t="s">
        <v>248</v>
      </c>
      <c r="B69" s="11">
        <v>197606107</v>
      </c>
      <c r="C69" s="11">
        <v>195155924</v>
      </c>
      <c r="D69" s="11">
        <v>194172984</v>
      </c>
      <c r="E69" s="11">
        <v>183263629</v>
      </c>
      <c r="F69" s="11">
        <v>178543596</v>
      </c>
      <c r="G69" s="11"/>
    </row>
    <row r="70" spans="1:7" x14ac:dyDescent="0.2">
      <c r="A70" s="9" t="s">
        <v>249</v>
      </c>
      <c r="B70" s="11">
        <v>197606107</v>
      </c>
      <c r="C70" s="11">
        <v>195161729</v>
      </c>
      <c r="D70" s="11">
        <v>194178081</v>
      </c>
      <c r="E70" s="11">
        <v>183268087</v>
      </c>
      <c r="F70" s="11">
        <v>178557615</v>
      </c>
      <c r="G70" s="11"/>
    </row>
    <row r="71" spans="1:7" x14ac:dyDescent="0.2">
      <c r="A71" s="9" t="s">
        <v>250</v>
      </c>
      <c r="B71" s="11">
        <v>3.35</v>
      </c>
      <c r="C71" s="9">
        <v>0</v>
      </c>
      <c r="D71" s="11">
        <v>3</v>
      </c>
      <c r="E71" s="11">
        <v>3.3</v>
      </c>
      <c r="F71" s="11">
        <v>0.7</v>
      </c>
      <c r="G71" s="11"/>
    </row>
    <row r="72" spans="1:7" x14ac:dyDescent="0.2">
      <c r="A72" s="9" t="s">
        <v>251</v>
      </c>
      <c r="B72" s="11">
        <v>3.35</v>
      </c>
      <c r="C72" s="9" t="s">
        <v>17</v>
      </c>
      <c r="D72" s="11">
        <v>3</v>
      </c>
      <c r="E72" s="11">
        <v>3.3</v>
      </c>
      <c r="F72" s="11">
        <v>0.7</v>
      </c>
      <c r="G72" s="11"/>
    </row>
    <row r="73" spans="1:7" x14ac:dyDescent="0.2">
      <c r="A73" s="9" t="s">
        <v>252</v>
      </c>
      <c r="B73" s="9" t="s">
        <v>17</v>
      </c>
      <c r="C73" s="9" t="s">
        <v>17</v>
      </c>
      <c r="D73" s="9" t="s">
        <v>17</v>
      </c>
      <c r="E73" s="9" t="s">
        <v>17</v>
      </c>
      <c r="F73" s="9" t="s">
        <v>17</v>
      </c>
      <c r="G73" s="9"/>
    </row>
    <row r="74" spans="1:7" x14ac:dyDescent="0.2">
      <c r="A74" s="9" t="s">
        <v>253</v>
      </c>
      <c r="B74" s="9" t="s">
        <v>17</v>
      </c>
      <c r="C74" s="9" t="s">
        <v>17</v>
      </c>
      <c r="D74" s="9" t="s">
        <v>17</v>
      </c>
      <c r="E74" s="9" t="s">
        <v>17</v>
      </c>
      <c r="F74" s="9" t="s">
        <v>17</v>
      </c>
      <c r="G74" s="9"/>
    </row>
    <row r="75" spans="1:7" x14ac:dyDescent="0.2">
      <c r="A75" s="9" t="s">
        <v>242</v>
      </c>
      <c r="B75" s="11">
        <v>10</v>
      </c>
      <c r="C75" s="11">
        <v>2.21</v>
      </c>
      <c r="D75" s="11">
        <v>10.9</v>
      </c>
      <c r="E75" s="11">
        <v>3.34</v>
      </c>
      <c r="F75" s="11">
        <v>-0.42</v>
      </c>
      <c r="G75" s="11"/>
    </row>
    <row r="76" spans="1:7" x14ac:dyDescent="0.2">
      <c r="A76" s="9" t="s">
        <v>245</v>
      </c>
      <c r="B76" s="11">
        <v>10</v>
      </c>
      <c r="C76" s="11">
        <v>2.21</v>
      </c>
      <c r="D76" s="11">
        <v>10.9</v>
      </c>
      <c r="E76" s="11">
        <v>3.34</v>
      </c>
      <c r="F76" s="11">
        <v>-0.42</v>
      </c>
      <c r="G76" s="11"/>
    </row>
    <row r="77" spans="1:7" x14ac:dyDescent="0.2">
      <c r="A77" s="9" t="s">
        <v>254</v>
      </c>
      <c r="B77" s="11">
        <v>197606107</v>
      </c>
      <c r="C77" s="11">
        <v>195155924</v>
      </c>
      <c r="D77" s="11">
        <v>194172984</v>
      </c>
      <c r="E77" s="11">
        <v>183263629</v>
      </c>
      <c r="F77" s="11">
        <v>178543596</v>
      </c>
      <c r="G77" s="11"/>
    </row>
    <row r="78" spans="1:7" x14ac:dyDescent="0.2">
      <c r="A78" s="9" t="s">
        <v>255</v>
      </c>
      <c r="B78" s="11">
        <v>197606107</v>
      </c>
      <c r="C78" s="11">
        <v>195161729</v>
      </c>
      <c r="D78" s="11">
        <v>194178081</v>
      </c>
      <c r="E78" s="11">
        <v>183268087</v>
      </c>
      <c r="F78" s="11">
        <v>178557615</v>
      </c>
      <c r="G78" s="11"/>
    </row>
    <row r="79" spans="1:7" x14ac:dyDescent="0.2">
      <c r="A79" s="9" t="s">
        <v>179</v>
      </c>
      <c r="B79" s="9"/>
      <c r="C79" s="9"/>
      <c r="D79" s="9"/>
      <c r="E79" s="9"/>
      <c r="F79" s="9"/>
      <c r="G79" s="9"/>
    </row>
    <row r="83" spans="1:7" x14ac:dyDescent="0.2">
      <c r="A83" s="4" t="s">
        <v>256</v>
      </c>
      <c r="B83" s="3">
        <f>B17-B54</f>
        <v>3887000000</v>
      </c>
      <c r="C83" s="3">
        <f t="shared" ref="C83:F83" si="0">C17-C54</f>
        <v>2106000000</v>
      </c>
      <c r="D83" s="3">
        <f t="shared" si="0"/>
        <v>3756000000</v>
      </c>
      <c r="E83" s="3">
        <f t="shared" si="0"/>
        <v>1950000000</v>
      </c>
      <c r="F83" s="3">
        <f t="shared" si="0"/>
        <v>1374000000</v>
      </c>
      <c r="G83" s="3"/>
    </row>
    <row r="85" spans="1:7" x14ac:dyDescent="0.2">
      <c r="A85" s="4" t="s">
        <v>257</v>
      </c>
      <c r="B85" s="3">
        <f>B17+(-'Cash Flow Statement'!B64)</f>
        <v>2829000000</v>
      </c>
      <c r="C85" s="3">
        <f>C17+(-'Cash Flow Statement'!C64)</f>
        <v>1018000000</v>
      </c>
      <c r="D85" s="3">
        <f>D17+(-'Cash Flow Statement'!D64)</f>
        <v>2100000000</v>
      </c>
      <c r="E85" s="3">
        <f>E17+(-'Cash Flow Statement'!E64)</f>
        <v>869000000</v>
      </c>
      <c r="F85" s="3">
        <f>F17+(-'Cash Flow Statement'!F64)</f>
        <v>442000000</v>
      </c>
    </row>
    <row r="87" spans="1:7" x14ac:dyDescent="0.2">
      <c r="B87" s="3"/>
      <c r="C87" s="3"/>
      <c r="D87" s="3"/>
      <c r="E87" s="3"/>
      <c r="F87" s="3"/>
    </row>
    <row r="89" spans="1:7" x14ac:dyDescent="0.2">
      <c r="F8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B6AC-8ECB-45EC-B2A6-3B6F93CECF50}">
  <dimension ref="A1:G75"/>
  <sheetViews>
    <sheetView topLeftCell="A38" zoomScale="116" workbookViewId="0">
      <selection activeCell="A8" sqref="A8"/>
    </sheetView>
  </sheetViews>
  <sheetFormatPr defaultRowHeight="12.75" x14ac:dyDescent="0.2"/>
  <cols>
    <col min="1" max="1" width="68.42578125" customWidth="1"/>
    <col min="2" max="2" width="13.28515625" customWidth="1"/>
    <col min="3" max="3" width="13.42578125" customWidth="1"/>
    <col min="4" max="4" width="12.28515625" customWidth="1"/>
    <col min="5" max="5" width="12.28515625" bestFit="1" customWidth="1"/>
    <col min="6" max="6" width="15.42578125" customWidth="1"/>
    <col min="7" max="7" width="12.28515625" customWidth="1"/>
  </cols>
  <sheetData>
    <row r="1" spans="1:7" x14ac:dyDescent="0.2">
      <c r="A1" s="10" t="s">
        <v>258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259</v>
      </c>
    </row>
    <row r="2" spans="1:7" x14ac:dyDescent="0.2">
      <c r="A2" s="9" t="s">
        <v>260</v>
      </c>
      <c r="B2" s="11">
        <v>2819000000</v>
      </c>
      <c r="C2" s="11">
        <v>1486000000</v>
      </c>
      <c r="D2" s="11">
        <v>3192000000</v>
      </c>
      <c r="E2" s="11">
        <v>-543000000</v>
      </c>
      <c r="F2" s="11">
        <v>2630000000</v>
      </c>
      <c r="G2" s="11">
        <v>2783000000</v>
      </c>
    </row>
    <row r="3" spans="1:7" x14ac:dyDescent="0.2">
      <c r="A3" s="9" t="s">
        <v>261</v>
      </c>
      <c r="B3" s="11">
        <v>2828000000</v>
      </c>
      <c r="C3" s="11">
        <v>1489000000</v>
      </c>
      <c r="D3" s="11">
        <v>2873000000</v>
      </c>
      <c r="E3" s="11">
        <v>-458000000</v>
      </c>
      <c r="F3" s="11">
        <v>2630000000</v>
      </c>
      <c r="G3" s="11">
        <v>2783000000</v>
      </c>
    </row>
    <row r="4" spans="1:7" x14ac:dyDescent="0.2">
      <c r="A4" s="9" t="s">
        <v>262</v>
      </c>
      <c r="B4" s="11">
        <v>3519000000</v>
      </c>
      <c r="C4" s="11">
        <v>1893000000</v>
      </c>
      <c r="D4" s="11">
        <v>3316000000</v>
      </c>
      <c r="E4" s="11">
        <v>-34000000</v>
      </c>
      <c r="F4" s="11">
        <v>2938000000</v>
      </c>
      <c r="G4" s="11">
        <v>3015000000</v>
      </c>
    </row>
    <row r="5" spans="1:7" x14ac:dyDescent="0.2">
      <c r="A5" s="9" t="s">
        <v>263</v>
      </c>
      <c r="B5" s="11">
        <v>2558000000</v>
      </c>
      <c r="C5" s="11">
        <v>575000000</v>
      </c>
      <c r="D5" s="11">
        <v>1852000000</v>
      </c>
      <c r="E5" s="11">
        <v>388000000</v>
      </c>
      <c r="F5" s="11">
        <v>65000000</v>
      </c>
      <c r="G5" s="11">
        <v>735000000</v>
      </c>
    </row>
    <row r="6" spans="1:7" x14ac:dyDescent="0.2">
      <c r="A6" s="9" t="s">
        <v>264</v>
      </c>
      <c r="B6" s="11">
        <v>1209000000</v>
      </c>
      <c r="C6" s="11">
        <v>1568000000</v>
      </c>
      <c r="D6" s="11">
        <v>1283000000</v>
      </c>
      <c r="E6" s="11">
        <v>1579000000</v>
      </c>
      <c r="F6" s="11">
        <v>1449000000</v>
      </c>
      <c r="G6" s="11">
        <v>1422000000</v>
      </c>
    </row>
    <row r="7" spans="1:7" x14ac:dyDescent="0.2">
      <c r="A7" s="9" t="s">
        <v>265</v>
      </c>
      <c r="B7" s="11">
        <v>1214000000</v>
      </c>
      <c r="C7" s="11">
        <v>1370000000</v>
      </c>
      <c r="D7" s="11">
        <v>1149000000</v>
      </c>
      <c r="E7" s="11">
        <v>1375000000</v>
      </c>
      <c r="F7" s="11">
        <v>1212000000</v>
      </c>
      <c r="G7" s="11">
        <v>1180000000</v>
      </c>
    </row>
    <row r="8" spans="1:7" x14ac:dyDescent="0.2">
      <c r="A8" s="9" t="s">
        <v>266</v>
      </c>
      <c r="B8" s="11">
        <v>1214000000</v>
      </c>
      <c r="C8" s="11">
        <v>1370000000</v>
      </c>
      <c r="D8" s="11">
        <v>1149000000</v>
      </c>
      <c r="E8" s="11">
        <v>1375000000</v>
      </c>
      <c r="F8" s="11">
        <v>1212000000</v>
      </c>
      <c r="G8" s="11">
        <v>1180000000</v>
      </c>
    </row>
    <row r="9" spans="1:7" x14ac:dyDescent="0.2">
      <c r="A9" s="9" t="s">
        <v>267</v>
      </c>
      <c r="B9" s="9" t="s">
        <v>17</v>
      </c>
      <c r="C9" s="9" t="s">
        <v>17</v>
      </c>
      <c r="D9" s="9" t="s">
        <v>17</v>
      </c>
      <c r="E9" s="9" t="s">
        <v>17</v>
      </c>
      <c r="F9" s="11">
        <v>1212000000</v>
      </c>
      <c r="G9" s="9" t="s">
        <v>17</v>
      </c>
    </row>
    <row r="10" spans="1:7" x14ac:dyDescent="0.2">
      <c r="A10" s="9" t="s">
        <v>268</v>
      </c>
      <c r="B10" s="11">
        <v>110000000</v>
      </c>
      <c r="C10" s="11">
        <v>139000000</v>
      </c>
      <c r="D10" s="11">
        <v>98000000</v>
      </c>
      <c r="E10" s="11">
        <v>115000000</v>
      </c>
      <c r="F10" s="11">
        <v>123000000</v>
      </c>
      <c r="G10" s="11">
        <v>130000000</v>
      </c>
    </row>
    <row r="11" spans="1:7" x14ac:dyDescent="0.2">
      <c r="A11" s="9" t="s">
        <v>269</v>
      </c>
      <c r="B11" s="11">
        <v>-1000000</v>
      </c>
      <c r="C11" s="11">
        <v>35000000</v>
      </c>
      <c r="D11" s="11">
        <v>51000000</v>
      </c>
      <c r="E11" s="11">
        <v>85000000</v>
      </c>
      <c r="F11" s="11">
        <v>144000000</v>
      </c>
      <c r="G11" s="11">
        <v>117000000</v>
      </c>
    </row>
    <row r="12" spans="1:7" x14ac:dyDescent="0.2">
      <c r="A12" s="9" t="s">
        <v>270</v>
      </c>
      <c r="B12" s="11">
        <v>-1000000</v>
      </c>
      <c r="C12" s="11">
        <v>35000000</v>
      </c>
      <c r="D12" s="11">
        <v>51000000</v>
      </c>
      <c r="E12" s="11">
        <v>85000000</v>
      </c>
      <c r="F12" s="11">
        <v>144000000</v>
      </c>
      <c r="G12" s="11">
        <v>117000000</v>
      </c>
    </row>
    <row r="13" spans="1:7" x14ac:dyDescent="0.2">
      <c r="A13" s="9" t="s">
        <v>271</v>
      </c>
      <c r="B13" s="11">
        <v>3000000</v>
      </c>
      <c r="C13" s="11">
        <v>22000000</v>
      </c>
      <c r="D13" s="11">
        <v>-21000000</v>
      </c>
      <c r="E13" s="11">
        <v>12000000</v>
      </c>
      <c r="F13" s="11">
        <v>-22000000</v>
      </c>
      <c r="G13" s="11">
        <v>22000000</v>
      </c>
    </row>
    <row r="14" spans="1:7" x14ac:dyDescent="0.2">
      <c r="A14" s="9" t="s">
        <v>272</v>
      </c>
      <c r="B14" s="11">
        <v>11000000</v>
      </c>
      <c r="C14" s="11">
        <v>28000000</v>
      </c>
      <c r="D14" s="11">
        <v>13000000</v>
      </c>
      <c r="E14" s="11">
        <v>16000000</v>
      </c>
      <c r="F14" s="11">
        <v>20000000</v>
      </c>
      <c r="G14" s="11">
        <v>48000000</v>
      </c>
    </row>
    <row r="15" spans="1:7" x14ac:dyDescent="0.2">
      <c r="A15" s="9" t="s">
        <v>273</v>
      </c>
      <c r="B15" s="11">
        <v>11000000</v>
      </c>
      <c r="C15" s="11">
        <v>28000000</v>
      </c>
      <c r="D15" s="11">
        <v>13000000</v>
      </c>
      <c r="E15" s="11">
        <v>16000000</v>
      </c>
      <c r="F15" s="11">
        <v>20000000</v>
      </c>
      <c r="G15" s="11">
        <v>48000000</v>
      </c>
    </row>
    <row r="16" spans="1:7" x14ac:dyDescent="0.2">
      <c r="A16" s="9" t="s">
        <v>274</v>
      </c>
      <c r="B16" s="11">
        <v>-8000000</v>
      </c>
      <c r="C16" s="11">
        <v>-6000000</v>
      </c>
      <c r="D16" s="11">
        <v>-34000000</v>
      </c>
      <c r="E16" s="11">
        <v>-4000000</v>
      </c>
      <c r="F16" s="11">
        <v>-42000000</v>
      </c>
      <c r="G16" s="11">
        <v>-26000000</v>
      </c>
    </row>
    <row r="17" spans="1:7" x14ac:dyDescent="0.2">
      <c r="A17" s="9" t="s">
        <v>275</v>
      </c>
      <c r="B17" s="11">
        <v>-12000000</v>
      </c>
      <c r="C17" s="11">
        <v>2000000</v>
      </c>
      <c r="D17" s="11">
        <v>6000000</v>
      </c>
      <c r="E17" s="11">
        <v>-8000000</v>
      </c>
      <c r="F17" s="11">
        <v>-8000000</v>
      </c>
      <c r="G17" s="11">
        <v>-27000000</v>
      </c>
    </row>
    <row r="18" spans="1:7" x14ac:dyDescent="0.2">
      <c r="A18" s="9" t="s">
        <v>276</v>
      </c>
      <c r="B18" s="11">
        <v>-105000000</v>
      </c>
      <c r="C18" s="9" t="s">
        <v>17</v>
      </c>
      <c r="D18" s="9" t="s">
        <v>17</v>
      </c>
      <c r="E18" s="9" t="s">
        <v>17</v>
      </c>
      <c r="F18" s="9" t="s">
        <v>17</v>
      </c>
      <c r="G18" s="9" t="s">
        <v>17</v>
      </c>
    </row>
    <row r="19" spans="1:7" x14ac:dyDescent="0.2">
      <c r="A19" s="9" t="s">
        <v>277</v>
      </c>
      <c r="B19" s="11">
        <v>-248000000</v>
      </c>
      <c r="C19" s="11">
        <v>-250000000</v>
      </c>
      <c r="D19" s="11">
        <v>181000000</v>
      </c>
      <c r="E19" s="11">
        <v>-2000000000</v>
      </c>
      <c r="F19" s="11">
        <v>1424000000</v>
      </c>
      <c r="G19" s="11">
        <v>859000000</v>
      </c>
    </row>
    <row r="20" spans="1:7" x14ac:dyDescent="0.2">
      <c r="A20" s="9" t="s">
        <v>278</v>
      </c>
      <c r="B20" s="11">
        <v>-505000000</v>
      </c>
      <c r="C20" s="11">
        <v>-503000000</v>
      </c>
      <c r="D20" s="11">
        <v>125000000</v>
      </c>
      <c r="E20" s="11">
        <v>-1901000000</v>
      </c>
      <c r="F20" s="11">
        <v>1297000000</v>
      </c>
      <c r="G20" s="11">
        <v>157000000</v>
      </c>
    </row>
    <row r="21" spans="1:7" x14ac:dyDescent="0.2">
      <c r="A21" s="9" t="s">
        <v>279</v>
      </c>
      <c r="B21" s="11">
        <v>-694000000</v>
      </c>
      <c r="C21" s="11">
        <v>394000000</v>
      </c>
      <c r="D21" s="11">
        <v>-170000000</v>
      </c>
      <c r="E21" s="11">
        <v>-820000000</v>
      </c>
      <c r="F21" s="11">
        <v>995000000</v>
      </c>
      <c r="G21" s="11">
        <v>-196000000</v>
      </c>
    </row>
    <row r="22" spans="1:7" x14ac:dyDescent="0.2">
      <c r="A22" s="9" t="s">
        <v>280</v>
      </c>
      <c r="B22" s="11">
        <v>951000000</v>
      </c>
      <c r="C22" s="11">
        <v>-141000000</v>
      </c>
      <c r="D22" s="11">
        <v>226000000</v>
      </c>
      <c r="E22" s="11">
        <v>721000000</v>
      </c>
      <c r="F22" s="11">
        <v>-868000000</v>
      </c>
      <c r="G22" s="11">
        <v>898000000</v>
      </c>
    </row>
    <row r="23" spans="1:7" x14ac:dyDescent="0.2">
      <c r="A23" s="9" t="s">
        <v>281</v>
      </c>
      <c r="B23" s="11">
        <v>951000000</v>
      </c>
      <c r="C23" s="11">
        <v>-141000000</v>
      </c>
      <c r="D23" s="11">
        <v>226000000</v>
      </c>
      <c r="E23" s="11">
        <v>721000000</v>
      </c>
      <c r="F23" s="11">
        <v>-868000000</v>
      </c>
      <c r="G23" s="11">
        <v>898000000</v>
      </c>
    </row>
    <row r="24" spans="1:7" x14ac:dyDescent="0.2">
      <c r="A24" s="9" t="s">
        <v>282</v>
      </c>
      <c r="B24" s="11">
        <v>951000000</v>
      </c>
      <c r="C24" s="11">
        <v>-141000000</v>
      </c>
      <c r="D24" s="11">
        <v>226000000</v>
      </c>
      <c r="E24" s="11">
        <v>721000000</v>
      </c>
      <c r="F24" s="11">
        <v>-868000000</v>
      </c>
      <c r="G24" s="11">
        <v>898000000</v>
      </c>
    </row>
    <row r="25" spans="1:7" x14ac:dyDescent="0.2">
      <c r="A25" s="9" t="s">
        <v>283</v>
      </c>
      <c r="B25" s="11">
        <v>-692000000</v>
      </c>
      <c r="C25" s="11">
        <v>-404000000</v>
      </c>
      <c r="D25" s="11">
        <v>-444000000</v>
      </c>
      <c r="E25" s="11">
        <v>-424000000</v>
      </c>
      <c r="F25" s="11">
        <v>-307000000</v>
      </c>
      <c r="G25" s="11">
        <v>-255000000</v>
      </c>
    </row>
    <row r="26" spans="1:7" x14ac:dyDescent="0.2">
      <c r="A26" s="9" t="s">
        <v>284</v>
      </c>
      <c r="B26" s="9" t="s">
        <v>17</v>
      </c>
      <c r="C26" s="9" t="s">
        <v>17</v>
      </c>
      <c r="D26" s="9" t="s">
        <v>17</v>
      </c>
      <c r="E26" s="9" t="s">
        <v>17</v>
      </c>
      <c r="F26" s="9" t="s">
        <v>17</v>
      </c>
      <c r="G26" s="9" t="s">
        <v>17</v>
      </c>
    </row>
    <row r="27" spans="1:7" x14ac:dyDescent="0.2">
      <c r="A27" s="9" t="s">
        <v>285</v>
      </c>
      <c r="B27" s="11">
        <v>-9000000</v>
      </c>
      <c r="C27" s="11">
        <v>-3000000</v>
      </c>
      <c r="D27" s="11">
        <v>320000000</v>
      </c>
      <c r="E27" s="11">
        <v>-85000000</v>
      </c>
      <c r="F27" s="11">
        <v>0</v>
      </c>
      <c r="G27" s="9" t="s">
        <v>17</v>
      </c>
    </row>
    <row r="28" spans="1:7" x14ac:dyDescent="0.2">
      <c r="A28" s="9" t="s">
        <v>286</v>
      </c>
      <c r="B28" s="11">
        <v>-925000000</v>
      </c>
      <c r="C28" s="11">
        <v>-115000000</v>
      </c>
      <c r="D28" s="11">
        <v>-424000000</v>
      </c>
      <c r="E28" s="11">
        <v>495000000</v>
      </c>
      <c r="F28" s="11">
        <v>-450000000</v>
      </c>
      <c r="G28" s="11">
        <v>-373000000</v>
      </c>
    </row>
    <row r="29" spans="1:7" x14ac:dyDescent="0.2">
      <c r="A29" s="9" t="s">
        <v>287</v>
      </c>
      <c r="B29" s="11">
        <v>-927000000</v>
      </c>
      <c r="C29" s="11">
        <v>-115000000</v>
      </c>
      <c r="D29" s="11">
        <v>-414000000</v>
      </c>
      <c r="E29" s="11">
        <v>494000000</v>
      </c>
      <c r="F29" s="11">
        <v>-450000000</v>
      </c>
      <c r="G29" s="11">
        <v>-371000000</v>
      </c>
    </row>
    <row r="30" spans="1:7" x14ac:dyDescent="0.2">
      <c r="A30" s="9" t="s">
        <v>288</v>
      </c>
      <c r="B30" s="11">
        <v>-585000000</v>
      </c>
      <c r="C30" s="11">
        <v>-362000000</v>
      </c>
      <c r="D30" s="11">
        <v>-493000000</v>
      </c>
      <c r="E30" s="11">
        <v>-503000000</v>
      </c>
      <c r="F30" s="11">
        <v>-353000000</v>
      </c>
      <c r="G30" s="11">
        <v>-375000000</v>
      </c>
    </row>
    <row r="31" spans="1:7" x14ac:dyDescent="0.2">
      <c r="A31" s="9" t="s">
        <v>289</v>
      </c>
      <c r="B31" s="11">
        <v>-598000000</v>
      </c>
      <c r="C31" s="11">
        <v>-379000000</v>
      </c>
      <c r="D31" s="11">
        <v>-494000000</v>
      </c>
      <c r="E31" s="11">
        <v>-504000000</v>
      </c>
      <c r="F31" s="11">
        <v>-363000000</v>
      </c>
      <c r="G31" s="11">
        <v>-383000000</v>
      </c>
    </row>
    <row r="32" spans="1:7" x14ac:dyDescent="0.2">
      <c r="A32" s="9" t="s">
        <v>290</v>
      </c>
      <c r="B32" s="11">
        <v>13000000</v>
      </c>
      <c r="C32" s="11">
        <v>17000000</v>
      </c>
      <c r="D32" s="11">
        <v>1000000</v>
      </c>
      <c r="E32" s="11">
        <v>1000000</v>
      </c>
      <c r="F32" s="11">
        <v>10000000</v>
      </c>
      <c r="G32" s="11">
        <v>8000000</v>
      </c>
    </row>
    <row r="33" spans="1:7" x14ac:dyDescent="0.2">
      <c r="A33" s="9" t="s">
        <v>291</v>
      </c>
      <c r="B33" s="11">
        <v>-110000000</v>
      </c>
      <c r="C33" s="11">
        <v>-60000000</v>
      </c>
      <c r="D33" s="11">
        <v>-172000000</v>
      </c>
      <c r="E33" s="11">
        <v>-190000000</v>
      </c>
      <c r="F33" s="11">
        <v>-140000000</v>
      </c>
      <c r="G33" s="11">
        <v>-125000000</v>
      </c>
    </row>
    <row r="34" spans="1:7" x14ac:dyDescent="0.2">
      <c r="A34" s="9" t="s">
        <v>292</v>
      </c>
      <c r="B34" s="11">
        <v>-110000000</v>
      </c>
      <c r="C34" s="11">
        <v>-64000000</v>
      </c>
      <c r="D34" s="11">
        <v>-173000000</v>
      </c>
      <c r="E34" s="11">
        <v>-191000000</v>
      </c>
      <c r="F34" s="11">
        <v>-141000000</v>
      </c>
      <c r="G34" s="11">
        <v>-126000000</v>
      </c>
    </row>
    <row r="35" spans="1:7" x14ac:dyDescent="0.2">
      <c r="A35" s="9" t="s">
        <v>293</v>
      </c>
      <c r="B35" s="11">
        <v>0</v>
      </c>
      <c r="C35" s="11">
        <v>4000000</v>
      </c>
      <c r="D35" s="11">
        <v>1000000</v>
      </c>
      <c r="E35" s="11">
        <v>1000000</v>
      </c>
      <c r="F35" s="11">
        <v>1000000</v>
      </c>
      <c r="G35" s="11">
        <v>1000000</v>
      </c>
    </row>
    <row r="36" spans="1:7" x14ac:dyDescent="0.2">
      <c r="A36" s="9" t="s">
        <v>294</v>
      </c>
      <c r="B36" s="11">
        <v>82000000</v>
      </c>
      <c r="C36" s="11">
        <v>42000000</v>
      </c>
      <c r="D36" s="11">
        <v>189000000</v>
      </c>
      <c r="E36" s="11">
        <v>1177000000</v>
      </c>
      <c r="F36" s="11">
        <v>-19000000</v>
      </c>
      <c r="G36" s="11">
        <v>100000000</v>
      </c>
    </row>
    <row r="37" spans="1:7" x14ac:dyDescent="0.2">
      <c r="A37" s="9" t="s">
        <v>295</v>
      </c>
      <c r="B37" s="9" t="s">
        <v>17</v>
      </c>
      <c r="C37" s="9" t="s">
        <v>17</v>
      </c>
      <c r="D37" s="9" t="s">
        <v>17</v>
      </c>
      <c r="E37" s="9" t="s">
        <v>17</v>
      </c>
      <c r="F37" s="11">
        <v>-19000000</v>
      </c>
      <c r="G37" s="11">
        <v>0</v>
      </c>
    </row>
    <row r="38" spans="1:7" x14ac:dyDescent="0.2">
      <c r="A38" s="9" t="s">
        <v>296</v>
      </c>
      <c r="B38" s="11">
        <v>82000000</v>
      </c>
      <c r="C38" s="11">
        <v>42000000</v>
      </c>
      <c r="D38" s="11">
        <v>189000000</v>
      </c>
      <c r="E38" s="11">
        <v>1177000000</v>
      </c>
      <c r="F38" s="11">
        <v>0</v>
      </c>
      <c r="G38" s="11">
        <v>100000000</v>
      </c>
    </row>
    <row r="39" spans="1:7" x14ac:dyDescent="0.2">
      <c r="A39" s="9" t="s">
        <v>297</v>
      </c>
      <c r="B39" s="11">
        <v>-364000000</v>
      </c>
      <c r="C39" s="11">
        <v>240000000</v>
      </c>
      <c r="D39" s="11">
        <v>49000000</v>
      </c>
      <c r="E39" s="11">
        <v>-13000000</v>
      </c>
      <c r="F39" s="11">
        <v>23000000</v>
      </c>
      <c r="G39" s="11">
        <v>-26000000</v>
      </c>
    </row>
    <row r="40" spans="1:7" x14ac:dyDescent="0.2">
      <c r="A40" s="9" t="s">
        <v>298</v>
      </c>
      <c r="B40" s="11">
        <v>-364000000</v>
      </c>
      <c r="C40" s="11">
        <v>-49000000</v>
      </c>
      <c r="D40" s="9" t="s">
        <v>17</v>
      </c>
      <c r="E40" s="9" t="s">
        <v>17</v>
      </c>
      <c r="F40" s="11">
        <v>-34000000</v>
      </c>
      <c r="G40" s="9" t="s">
        <v>17</v>
      </c>
    </row>
    <row r="41" spans="1:7" x14ac:dyDescent="0.2">
      <c r="A41" s="9" t="s">
        <v>299</v>
      </c>
      <c r="B41" s="9" t="s">
        <v>17</v>
      </c>
      <c r="C41" s="11">
        <v>289000000</v>
      </c>
      <c r="D41" s="11">
        <v>49000000</v>
      </c>
      <c r="E41" s="9" t="s">
        <v>17</v>
      </c>
      <c r="F41" s="11">
        <v>57000000</v>
      </c>
      <c r="G41" s="9" t="s">
        <v>17</v>
      </c>
    </row>
    <row r="42" spans="1:7" x14ac:dyDescent="0.2">
      <c r="A42" s="9" t="s">
        <v>300</v>
      </c>
      <c r="B42" s="11">
        <v>50000000</v>
      </c>
      <c r="C42" s="11">
        <v>25000000</v>
      </c>
      <c r="D42" s="11">
        <v>13000000</v>
      </c>
      <c r="E42" s="11">
        <v>23000000</v>
      </c>
      <c r="F42" s="11">
        <v>39000000</v>
      </c>
      <c r="G42" s="11">
        <v>55000000</v>
      </c>
    </row>
    <row r="43" spans="1:7" x14ac:dyDescent="0.2">
      <c r="A43" s="9" t="s">
        <v>301</v>
      </c>
      <c r="B43" s="11">
        <v>0</v>
      </c>
      <c r="C43" s="9" t="s">
        <v>17</v>
      </c>
      <c r="D43" s="9" t="s">
        <v>17</v>
      </c>
      <c r="E43" s="9" t="s">
        <v>17</v>
      </c>
      <c r="F43" s="9" t="s">
        <v>17</v>
      </c>
      <c r="G43" s="9" t="s">
        <v>17</v>
      </c>
    </row>
    <row r="44" spans="1:7" x14ac:dyDescent="0.2">
      <c r="A44" s="9" t="s">
        <v>302</v>
      </c>
      <c r="B44" s="11">
        <v>0</v>
      </c>
      <c r="C44" s="9" t="s">
        <v>17</v>
      </c>
      <c r="D44" s="9" t="s">
        <v>17</v>
      </c>
      <c r="E44" s="9" t="s">
        <v>17</v>
      </c>
      <c r="F44" s="9" t="s">
        <v>17</v>
      </c>
      <c r="G44" s="9" t="s">
        <v>17</v>
      </c>
    </row>
    <row r="45" spans="1:7" x14ac:dyDescent="0.2">
      <c r="A45" s="9" t="s">
        <v>303</v>
      </c>
      <c r="B45" s="11">
        <v>0</v>
      </c>
      <c r="C45" s="9" t="s">
        <v>17</v>
      </c>
      <c r="D45" s="11">
        <v>-9000000</v>
      </c>
      <c r="E45" s="11">
        <v>0</v>
      </c>
      <c r="F45" s="11">
        <v>0</v>
      </c>
      <c r="G45" s="9" t="s">
        <v>17</v>
      </c>
    </row>
    <row r="46" spans="1:7" x14ac:dyDescent="0.2">
      <c r="A46" s="9" t="s">
        <v>304</v>
      </c>
      <c r="B46" s="11">
        <v>-2273000000</v>
      </c>
      <c r="C46" s="11">
        <v>479000000</v>
      </c>
      <c r="D46" s="11">
        <v>-2991000000</v>
      </c>
      <c r="E46" s="11">
        <v>-2963000000</v>
      </c>
      <c r="F46" s="11">
        <v>-1425000000</v>
      </c>
      <c r="G46" s="11">
        <v>-1482000000</v>
      </c>
    </row>
    <row r="47" spans="1:7" x14ac:dyDescent="0.2">
      <c r="A47" s="9" t="s">
        <v>305</v>
      </c>
      <c r="B47" s="11">
        <v>-2273000000</v>
      </c>
      <c r="C47" s="11">
        <v>479000000</v>
      </c>
      <c r="D47" s="11">
        <v>-2952000000</v>
      </c>
      <c r="E47" s="11">
        <v>-2957000000</v>
      </c>
      <c r="F47" s="11">
        <v>-1425000000</v>
      </c>
      <c r="G47" s="11">
        <v>-1482000000</v>
      </c>
    </row>
    <row r="48" spans="1:7" x14ac:dyDescent="0.2">
      <c r="A48" s="9" t="s">
        <v>306</v>
      </c>
      <c r="B48" s="11">
        <v>-813000000</v>
      </c>
      <c r="C48" s="11">
        <v>-261000000</v>
      </c>
      <c r="D48" s="11">
        <v>-1005000000</v>
      </c>
      <c r="E48" s="11">
        <v>-2505000000</v>
      </c>
      <c r="F48" s="11">
        <v>-4000000</v>
      </c>
      <c r="G48" s="11">
        <v>-12000000</v>
      </c>
    </row>
    <row r="49" spans="1:7" x14ac:dyDescent="0.2">
      <c r="A49" s="9" t="s">
        <v>307</v>
      </c>
      <c r="B49" s="11">
        <v>24000000</v>
      </c>
      <c r="C49" s="11">
        <v>25000000</v>
      </c>
      <c r="D49" s="11">
        <v>27000000</v>
      </c>
      <c r="E49" s="11">
        <v>25000000</v>
      </c>
      <c r="F49" s="11">
        <v>25000000</v>
      </c>
      <c r="G49" s="11">
        <v>24000000</v>
      </c>
    </row>
    <row r="50" spans="1:7" x14ac:dyDescent="0.2">
      <c r="A50" s="9" t="s">
        <v>308</v>
      </c>
      <c r="B50" s="11">
        <v>-837000000</v>
      </c>
      <c r="C50" s="11">
        <v>-286000000</v>
      </c>
      <c r="D50" s="11">
        <v>-1032000000</v>
      </c>
      <c r="E50" s="11">
        <v>-2530000000</v>
      </c>
      <c r="F50" s="11">
        <v>-29000000</v>
      </c>
      <c r="G50" s="11">
        <v>-36000000</v>
      </c>
    </row>
    <row r="51" spans="1:7" x14ac:dyDescent="0.2">
      <c r="A51" s="9" t="s">
        <v>309</v>
      </c>
      <c r="B51" s="11">
        <v>-42000000</v>
      </c>
      <c r="C51" s="11">
        <v>1525000000</v>
      </c>
      <c r="D51" s="11">
        <v>-679000000</v>
      </c>
      <c r="E51" s="11">
        <v>976000000</v>
      </c>
      <c r="F51" s="11">
        <v>-497000000</v>
      </c>
      <c r="G51" s="11">
        <v>-500000000</v>
      </c>
    </row>
    <row r="52" spans="1:7" x14ac:dyDescent="0.2">
      <c r="A52" s="9" t="s">
        <v>310</v>
      </c>
      <c r="B52" s="11">
        <v>-42000000</v>
      </c>
      <c r="C52" s="11">
        <v>24000000</v>
      </c>
      <c r="D52" s="11">
        <v>-79000000</v>
      </c>
      <c r="E52" s="11">
        <v>-18000000</v>
      </c>
      <c r="F52" s="11">
        <v>3000000</v>
      </c>
      <c r="G52" s="11">
        <v>0</v>
      </c>
    </row>
    <row r="53" spans="1:7" x14ac:dyDescent="0.2">
      <c r="A53" s="9" t="s">
        <v>311</v>
      </c>
      <c r="B53" s="11">
        <v>-42000000</v>
      </c>
      <c r="C53" s="11">
        <v>-519000000</v>
      </c>
      <c r="D53" s="9" t="s">
        <v>17</v>
      </c>
      <c r="E53" s="11">
        <v>-18000000</v>
      </c>
      <c r="F53" s="9" t="s">
        <v>17</v>
      </c>
      <c r="G53" s="9" t="s">
        <v>17</v>
      </c>
    </row>
    <row r="54" spans="1:7" x14ac:dyDescent="0.2">
      <c r="A54" s="9" t="s">
        <v>312</v>
      </c>
      <c r="B54" s="11">
        <v>0</v>
      </c>
      <c r="C54" s="11">
        <v>543000000</v>
      </c>
      <c r="D54" s="9" t="s">
        <v>17</v>
      </c>
      <c r="E54" s="9" t="s">
        <v>17</v>
      </c>
      <c r="F54" s="9" t="s">
        <v>17</v>
      </c>
      <c r="G54" s="9" t="s">
        <v>17</v>
      </c>
    </row>
    <row r="55" spans="1:7" x14ac:dyDescent="0.2">
      <c r="A55" s="9" t="s">
        <v>313</v>
      </c>
      <c r="B55" s="11">
        <v>0</v>
      </c>
      <c r="C55" s="11">
        <v>1501000000</v>
      </c>
      <c r="D55" s="11">
        <v>-600000000</v>
      </c>
      <c r="E55" s="11">
        <v>994000000</v>
      </c>
      <c r="F55" s="11">
        <v>-500000000</v>
      </c>
      <c r="G55" s="11">
        <v>-500000000</v>
      </c>
    </row>
    <row r="56" spans="1:7" x14ac:dyDescent="0.2">
      <c r="A56" s="9" t="s">
        <v>314</v>
      </c>
      <c r="B56" s="11">
        <v>0</v>
      </c>
      <c r="C56" s="11">
        <v>1501000000</v>
      </c>
      <c r="D56" s="9" t="s">
        <v>17</v>
      </c>
      <c r="E56" s="11">
        <v>994000000</v>
      </c>
      <c r="F56" s="11">
        <v>0</v>
      </c>
      <c r="G56" s="9" t="s">
        <v>17</v>
      </c>
    </row>
    <row r="57" spans="1:7" x14ac:dyDescent="0.2">
      <c r="A57" s="9" t="s">
        <v>315</v>
      </c>
      <c r="B57" s="9" t="s">
        <v>17</v>
      </c>
      <c r="C57" s="9" t="s">
        <v>17</v>
      </c>
      <c r="D57" s="11">
        <v>-600000000</v>
      </c>
      <c r="E57" s="11">
        <v>0</v>
      </c>
      <c r="F57" s="11">
        <v>-500000000</v>
      </c>
      <c r="G57" s="11">
        <v>-500000000</v>
      </c>
    </row>
    <row r="58" spans="1:7" x14ac:dyDescent="0.2">
      <c r="A58" s="9" t="s">
        <v>316</v>
      </c>
      <c r="B58" s="11">
        <v>-597000000</v>
      </c>
      <c r="C58" s="11">
        <v>-611000000</v>
      </c>
      <c r="D58" s="11">
        <v>-572000000</v>
      </c>
      <c r="E58" s="11">
        <v>-631000000</v>
      </c>
      <c r="F58" s="11">
        <v>-603000000</v>
      </c>
      <c r="G58" s="11">
        <v>-628000000</v>
      </c>
    </row>
    <row r="59" spans="1:7" x14ac:dyDescent="0.2">
      <c r="A59" s="9" t="s">
        <v>317</v>
      </c>
      <c r="B59" s="11">
        <v>-597000000</v>
      </c>
      <c r="C59" s="11">
        <v>-611000000</v>
      </c>
      <c r="D59" s="11">
        <v>-572000000</v>
      </c>
      <c r="E59" s="11">
        <v>-631000000</v>
      </c>
      <c r="F59" s="11">
        <v>-603000000</v>
      </c>
      <c r="G59" s="11">
        <v>-628000000</v>
      </c>
    </row>
    <row r="60" spans="1:7" x14ac:dyDescent="0.2">
      <c r="A60" s="9" t="s">
        <v>318</v>
      </c>
      <c r="B60" s="9" t="s">
        <v>17</v>
      </c>
      <c r="C60" s="9" t="s">
        <v>17</v>
      </c>
      <c r="D60" s="9" t="s">
        <v>17</v>
      </c>
      <c r="E60" s="11">
        <v>-27000000</v>
      </c>
      <c r="F60" s="11">
        <v>0</v>
      </c>
      <c r="G60" s="11">
        <v>-12000000</v>
      </c>
    </row>
    <row r="61" spans="1:7" x14ac:dyDescent="0.2">
      <c r="A61" s="9" t="s">
        <v>319</v>
      </c>
      <c r="B61" s="11">
        <v>-820000000</v>
      </c>
      <c r="C61" s="11">
        <v>-157000000</v>
      </c>
      <c r="D61" s="11">
        <v>-696000000</v>
      </c>
      <c r="E61" s="11">
        <v>-750000000</v>
      </c>
      <c r="F61" s="11">
        <v>-288000000</v>
      </c>
      <c r="G61" s="11">
        <v>-300000000</v>
      </c>
    </row>
    <row r="62" spans="1:7" x14ac:dyDescent="0.2">
      <c r="A62" s="9" t="s">
        <v>320</v>
      </c>
      <c r="B62" s="11">
        <v>-664000000</v>
      </c>
      <c r="C62" s="9" t="s">
        <v>17</v>
      </c>
      <c r="D62" s="11">
        <v>-585000000</v>
      </c>
      <c r="E62" s="11">
        <v>-610000000</v>
      </c>
      <c r="F62" s="11">
        <v>-125000000</v>
      </c>
      <c r="G62" s="11">
        <v>-125000000</v>
      </c>
    </row>
    <row r="63" spans="1:7" x14ac:dyDescent="0.2">
      <c r="A63" s="9" t="s">
        <v>321</v>
      </c>
      <c r="B63" s="9" t="s">
        <v>17</v>
      </c>
      <c r="C63" s="9" t="s">
        <v>17</v>
      </c>
      <c r="D63" s="9" t="s">
        <v>17</v>
      </c>
      <c r="E63" s="9" t="s">
        <v>17</v>
      </c>
      <c r="F63" s="11">
        <v>-125000000</v>
      </c>
      <c r="G63" s="9" t="s">
        <v>17</v>
      </c>
    </row>
    <row r="64" spans="1:7" x14ac:dyDescent="0.2">
      <c r="A64" s="9" t="s">
        <v>322</v>
      </c>
      <c r="B64" s="11">
        <v>-156000000</v>
      </c>
      <c r="C64" s="11">
        <v>-157000000</v>
      </c>
      <c r="D64" s="11">
        <v>-111000000</v>
      </c>
      <c r="E64" s="11">
        <v>-140000000</v>
      </c>
      <c r="F64" s="11">
        <v>-163000000</v>
      </c>
      <c r="G64" s="11">
        <v>-175000000</v>
      </c>
    </row>
    <row r="65" spans="1:7" x14ac:dyDescent="0.2">
      <c r="A65" s="9" t="s">
        <v>323</v>
      </c>
      <c r="B65" s="11">
        <v>-2000000</v>
      </c>
      <c r="C65" s="11">
        <v>-17000000</v>
      </c>
      <c r="D65" s="9" t="s">
        <v>17</v>
      </c>
      <c r="E65" s="11">
        <v>-22000000</v>
      </c>
      <c r="F65" s="11">
        <v>-33000000</v>
      </c>
      <c r="G65" s="11">
        <v>-32000000</v>
      </c>
    </row>
    <row r="66" spans="1:7" x14ac:dyDescent="0.2">
      <c r="A66" s="9" t="s">
        <v>324</v>
      </c>
      <c r="B66" s="11">
        <v>0</v>
      </c>
      <c r="C66" s="9" t="s">
        <v>17</v>
      </c>
      <c r="D66" s="9" t="s">
        <v>17</v>
      </c>
      <c r="E66" s="9" t="s">
        <v>17</v>
      </c>
      <c r="F66" s="9" t="s">
        <v>17</v>
      </c>
      <c r="G66" s="9" t="s">
        <v>17</v>
      </c>
    </row>
    <row r="67" spans="1:7" x14ac:dyDescent="0.2">
      <c r="A67" s="9" t="s">
        <v>325</v>
      </c>
      <c r="B67" s="11">
        <v>0</v>
      </c>
      <c r="C67" s="9" t="s">
        <v>17</v>
      </c>
      <c r="D67" s="11">
        <v>-39000000</v>
      </c>
      <c r="E67" s="11">
        <v>-6000000</v>
      </c>
      <c r="F67" s="11">
        <v>0</v>
      </c>
      <c r="G67" s="9" t="s">
        <v>17</v>
      </c>
    </row>
    <row r="68" spans="1:7" x14ac:dyDescent="0.2">
      <c r="A68" s="9" t="s">
        <v>326</v>
      </c>
      <c r="B68" s="11">
        <v>2220000000</v>
      </c>
      <c r="C68" s="11">
        <v>3994000000</v>
      </c>
      <c r="D68" s="11">
        <v>3828000000</v>
      </c>
      <c r="E68" s="11">
        <v>798000000</v>
      </c>
      <c r="F68" s="11">
        <v>1431000000</v>
      </c>
      <c r="G68" s="11">
        <v>1781000000</v>
      </c>
    </row>
    <row r="69" spans="1:7" x14ac:dyDescent="0.2">
      <c r="A69" s="9" t="s">
        <v>327</v>
      </c>
      <c r="B69" s="11">
        <v>-379000000</v>
      </c>
      <c r="C69" s="11">
        <v>1850000000</v>
      </c>
      <c r="D69" s="11">
        <v>-223000000</v>
      </c>
      <c r="E69" s="11">
        <v>-3011000000</v>
      </c>
      <c r="F69" s="11">
        <v>755000000</v>
      </c>
      <c r="G69" s="11">
        <v>928000000</v>
      </c>
    </row>
    <row r="70" spans="1:7" x14ac:dyDescent="0.2">
      <c r="A70" s="9" t="s">
        <v>328</v>
      </c>
      <c r="B70" s="11">
        <v>-30000000</v>
      </c>
      <c r="C70" s="11">
        <v>-75000000</v>
      </c>
      <c r="D70" s="11">
        <v>57000000</v>
      </c>
      <c r="E70" s="11">
        <v>-19000000</v>
      </c>
      <c r="F70" s="11">
        <v>-40000000</v>
      </c>
      <c r="G70" s="11">
        <v>-42000000</v>
      </c>
    </row>
    <row r="71" spans="1:7" x14ac:dyDescent="0.2">
      <c r="A71" s="9" t="s">
        <v>329</v>
      </c>
      <c r="B71" s="9" t="s">
        <v>17</v>
      </c>
      <c r="C71" s="9" t="s">
        <v>17</v>
      </c>
      <c r="D71" s="9" t="s">
        <v>17</v>
      </c>
      <c r="E71" s="9" t="s">
        <v>17</v>
      </c>
      <c r="F71" s="11">
        <v>-82000000</v>
      </c>
      <c r="G71" s="11">
        <v>-60000000</v>
      </c>
    </row>
    <row r="72" spans="1:7" x14ac:dyDescent="0.2">
      <c r="A72" s="9" t="s">
        <v>330</v>
      </c>
      <c r="B72" s="11">
        <v>2629000000</v>
      </c>
      <c r="C72" s="11">
        <v>2220000000</v>
      </c>
      <c r="D72" s="11">
        <v>3994000000</v>
      </c>
      <c r="E72" s="11">
        <v>3828000000</v>
      </c>
      <c r="F72" s="11">
        <v>798000000</v>
      </c>
      <c r="G72" s="11">
        <v>954000000</v>
      </c>
    </row>
    <row r="73" spans="1:7" x14ac:dyDescent="0.2">
      <c r="A73" s="9" t="s">
        <v>331</v>
      </c>
      <c r="B73" s="9" t="s">
        <v>17</v>
      </c>
      <c r="C73" s="9" t="s">
        <v>17</v>
      </c>
      <c r="D73" s="9" t="s">
        <v>17</v>
      </c>
      <c r="E73" s="9" t="s">
        <v>17</v>
      </c>
      <c r="F73" s="9" t="s">
        <v>17</v>
      </c>
      <c r="G73" s="9" t="s">
        <v>17</v>
      </c>
    </row>
    <row r="74" spans="1:7" x14ac:dyDescent="0.2">
      <c r="A74" s="9" t="s">
        <v>332</v>
      </c>
      <c r="B74" s="11">
        <v>-410000000</v>
      </c>
      <c r="C74" s="11">
        <v>1774000000</v>
      </c>
      <c r="D74" s="11">
        <v>-165000000</v>
      </c>
      <c r="E74" s="11">
        <v>-3031000000</v>
      </c>
      <c r="F74" s="11">
        <v>633000000</v>
      </c>
      <c r="G74" s="11">
        <v>805000000</v>
      </c>
    </row>
    <row r="75" spans="1:7" x14ac:dyDescent="0.2">
      <c r="A75" s="9" t="s">
        <v>179</v>
      </c>
      <c r="B75" s="9"/>
      <c r="C75" s="9"/>
      <c r="D75" s="9"/>
      <c r="E75" s="9"/>
      <c r="F75" s="9"/>
      <c r="G75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FA90-7275-47D7-AD12-6952D29619E1}">
  <dimension ref="A1:AB280"/>
  <sheetViews>
    <sheetView workbookViewId="0">
      <selection activeCell="J34" sqref="J34"/>
    </sheetView>
  </sheetViews>
  <sheetFormatPr defaultRowHeight="12.75" x14ac:dyDescent="0.2"/>
  <cols>
    <col min="1" max="1" width="65.5703125" bestFit="1" customWidth="1"/>
    <col min="2" max="2" width="15.5703125" customWidth="1"/>
    <col min="3" max="3" width="15" customWidth="1"/>
    <col min="4" max="4" width="12.7109375" customWidth="1"/>
    <col min="5" max="5" width="16.5703125" customWidth="1"/>
    <col min="6" max="6" width="17" customWidth="1"/>
    <col min="7" max="7" width="12.7109375" bestFit="1" customWidth="1"/>
    <col min="8" max="8" width="12.85546875" customWidth="1"/>
    <col min="11" max="11" width="65.5703125" bestFit="1" customWidth="1"/>
    <col min="12" max="13" width="11.7109375" bestFit="1" customWidth="1"/>
    <col min="14" max="14" width="16.140625" customWidth="1"/>
    <col min="15" max="15" width="19" customWidth="1"/>
    <col min="16" max="17" width="11.7109375" bestFit="1" customWidth="1"/>
    <col min="22" max="22" width="65.5703125" bestFit="1" customWidth="1"/>
    <col min="23" max="28" width="11.7109375" bestFit="1" customWidth="1"/>
  </cols>
  <sheetData>
    <row r="1" spans="1:28" ht="26.25" x14ac:dyDescent="0.4">
      <c r="A1" s="14" t="s">
        <v>333</v>
      </c>
      <c r="K1" s="14" t="s">
        <v>334</v>
      </c>
      <c r="V1" s="14" t="s">
        <v>335</v>
      </c>
    </row>
    <row r="2" spans="1:28" x14ac:dyDescent="0.2">
      <c r="A2" s="15" t="s">
        <v>333</v>
      </c>
    </row>
    <row r="3" spans="1:28" x14ac:dyDescent="0.2">
      <c r="A3" s="16" t="s">
        <v>336</v>
      </c>
      <c r="B3" s="15">
        <v>2019</v>
      </c>
      <c r="C3" s="15">
        <v>2020</v>
      </c>
      <c r="D3" s="15">
        <v>2021</v>
      </c>
      <c r="E3" s="15">
        <v>2022</v>
      </c>
      <c r="F3" s="15">
        <v>2023</v>
      </c>
      <c r="G3" s="15"/>
      <c r="K3" s="16" t="s">
        <v>337</v>
      </c>
      <c r="L3" s="15">
        <v>2019</v>
      </c>
      <c r="M3" s="15">
        <v>2020</v>
      </c>
      <c r="N3" s="15">
        <v>2021</v>
      </c>
      <c r="O3" s="15">
        <v>2022</v>
      </c>
      <c r="P3" s="15">
        <v>2023</v>
      </c>
      <c r="Q3" s="15"/>
      <c r="V3" s="16" t="s">
        <v>338</v>
      </c>
      <c r="W3" s="15">
        <v>2019</v>
      </c>
      <c r="X3" s="15">
        <v>2020</v>
      </c>
      <c r="Y3" s="15">
        <v>2021</v>
      </c>
      <c r="Z3" s="15">
        <v>2022</v>
      </c>
      <c r="AA3" s="15">
        <v>2023</v>
      </c>
      <c r="AB3" s="15"/>
    </row>
    <row r="4" spans="1:28" x14ac:dyDescent="0.2">
      <c r="A4" t="s">
        <v>181</v>
      </c>
      <c r="B4">
        <v>17474000000</v>
      </c>
      <c r="C4">
        <v>16241000000</v>
      </c>
      <c r="D4">
        <v>19962000000</v>
      </c>
      <c r="E4">
        <v>21479000000</v>
      </c>
      <c r="F4">
        <v>22292000000</v>
      </c>
      <c r="K4" t="s">
        <v>181</v>
      </c>
      <c r="L4">
        <v>2470533000</v>
      </c>
      <c r="M4">
        <v>2160095000</v>
      </c>
      <c r="N4">
        <v>2861499000</v>
      </c>
      <c r="O4">
        <v>2649340000</v>
      </c>
      <c r="P4">
        <v>2630253000</v>
      </c>
      <c r="V4" t="s">
        <v>181</v>
      </c>
      <c r="W4">
        <v>2686400000</v>
      </c>
      <c r="X4">
        <v>2458000000</v>
      </c>
      <c r="Y4">
        <v>3257800000</v>
      </c>
      <c r="Z4">
        <v>3902700000</v>
      </c>
      <c r="AA4">
        <v>3986600000</v>
      </c>
    </row>
    <row r="5" spans="1:28" x14ac:dyDescent="0.2">
      <c r="A5" t="s">
        <v>182</v>
      </c>
      <c r="B5">
        <v>39117000000</v>
      </c>
      <c r="C5">
        <v>37403000000</v>
      </c>
      <c r="D5">
        <v>44538000000</v>
      </c>
      <c r="E5">
        <v>46710000000</v>
      </c>
      <c r="F5">
        <v>51217000000</v>
      </c>
      <c r="K5" t="s">
        <v>182</v>
      </c>
      <c r="L5">
        <v>5267132000</v>
      </c>
      <c r="M5">
        <v>4474667000</v>
      </c>
      <c r="N5">
        <v>5683466000</v>
      </c>
      <c r="O5">
        <v>5903636000</v>
      </c>
      <c r="P5">
        <v>5701879000</v>
      </c>
      <c r="V5" t="s">
        <v>182</v>
      </c>
      <c r="W5">
        <v>5502200000</v>
      </c>
      <c r="X5">
        <v>5234400000</v>
      </c>
      <c r="Y5">
        <v>6805400000</v>
      </c>
      <c r="Z5">
        <v>8465100000</v>
      </c>
      <c r="AA5">
        <v>8601700000</v>
      </c>
    </row>
    <row r="6" spans="1:28" x14ac:dyDescent="0.2">
      <c r="A6" t="s">
        <v>183</v>
      </c>
      <c r="B6">
        <v>39117000000</v>
      </c>
      <c r="C6">
        <v>37403000000</v>
      </c>
      <c r="D6">
        <v>44538000000</v>
      </c>
      <c r="E6">
        <v>46710000000</v>
      </c>
      <c r="F6">
        <v>51217000000</v>
      </c>
      <c r="K6" t="s">
        <v>183</v>
      </c>
      <c r="L6">
        <v>5267132000</v>
      </c>
      <c r="M6">
        <v>4474667000</v>
      </c>
      <c r="N6">
        <v>5683466000</v>
      </c>
      <c r="O6">
        <v>5903636000</v>
      </c>
      <c r="P6">
        <v>5701879000</v>
      </c>
      <c r="V6" t="s">
        <v>183</v>
      </c>
      <c r="W6">
        <v>5502200000</v>
      </c>
      <c r="X6">
        <v>5234400000</v>
      </c>
      <c r="Y6">
        <v>6805400000</v>
      </c>
      <c r="Z6">
        <v>8465100000</v>
      </c>
      <c r="AA6">
        <v>8601700000</v>
      </c>
    </row>
    <row r="7" spans="1:28" x14ac:dyDescent="0.2">
      <c r="A7" t="s">
        <v>184</v>
      </c>
      <c r="B7">
        <v>-21643000000</v>
      </c>
      <c r="C7">
        <v>-21162000000</v>
      </c>
      <c r="D7">
        <v>-24576000000</v>
      </c>
      <c r="E7">
        <v>-25231000000</v>
      </c>
      <c r="F7">
        <v>-28925000000</v>
      </c>
      <c r="K7" t="s">
        <v>184</v>
      </c>
      <c r="L7">
        <v>-2796599000</v>
      </c>
      <c r="M7">
        <v>-2314572000</v>
      </c>
      <c r="N7">
        <v>-2821967000</v>
      </c>
      <c r="O7">
        <v>-3254296000</v>
      </c>
      <c r="P7">
        <v>-3071626000</v>
      </c>
      <c r="V7" t="s">
        <v>184</v>
      </c>
      <c r="W7">
        <v>-2815800000</v>
      </c>
      <c r="X7">
        <v>-2776400000</v>
      </c>
      <c r="Y7">
        <v>-3547600000</v>
      </c>
      <c r="Z7">
        <v>-4562300000</v>
      </c>
      <c r="AA7">
        <v>-4615100000</v>
      </c>
    </row>
    <row r="8" spans="1:28" x14ac:dyDescent="0.2">
      <c r="A8" t="s">
        <v>185</v>
      </c>
      <c r="B8">
        <v>-21643000000</v>
      </c>
      <c r="C8">
        <v>-21162000000</v>
      </c>
      <c r="D8">
        <v>-24576000000</v>
      </c>
      <c r="E8">
        <v>-25231000000</v>
      </c>
      <c r="F8">
        <v>-28925000000</v>
      </c>
      <c r="K8" t="s">
        <v>185</v>
      </c>
      <c r="L8">
        <v>-2796599000</v>
      </c>
      <c r="M8">
        <v>-2314572000</v>
      </c>
      <c r="N8">
        <v>-2821967000</v>
      </c>
      <c r="O8">
        <v>-3254296000</v>
      </c>
      <c r="P8">
        <v>-3071626000</v>
      </c>
      <c r="V8" t="s">
        <v>185</v>
      </c>
      <c r="W8">
        <v>-2815800000</v>
      </c>
      <c r="X8">
        <v>-2776400000</v>
      </c>
      <c r="Y8">
        <v>-3547600000</v>
      </c>
      <c r="Z8">
        <v>-4552100000</v>
      </c>
      <c r="AA8">
        <v>-4615100000</v>
      </c>
    </row>
    <row r="9" spans="1:28" x14ac:dyDescent="0.2">
      <c r="A9" t="s">
        <v>186</v>
      </c>
      <c r="B9">
        <v>-12702000000</v>
      </c>
      <c r="C9">
        <v>-13126000000</v>
      </c>
      <c r="D9">
        <v>-13025000000</v>
      </c>
      <c r="E9">
        <v>-14804000000</v>
      </c>
      <c r="F9">
        <v>-16377000000</v>
      </c>
      <c r="K9" t="s">
        <v>186</v>
      </c>
      <c r="L9">
        <v>-2233763000</v>
      </c>
      <c r="M9">
        <v>-2171934000</v>
      </c>
      <c r="N9">
        <v>-2334691000</v>
      </c>
      <c r="O9">
        <v>-2365529000</v>
      </c>
      <c r="P9">
        <v>-2400502000</v>
      </c>
      <c r="V9" t="s">
        <v>339</v>
      </c>
      <c r="Z9">
        <v>-10200000</v>
      </c>
    </row>
    <row r="10" spans="1:28" x14ac:dyDescent="0.2">
      <c r="A10" t="s">
        <v>187</v>
      </c>
      <c r="B10">
        <v>-12702000000</v>
      </c>
      <c r="C10">
        <v>-13126000000</v>
      </c>
      <c r="D10">
        <v>-13025000000</v>
      </c>
      <c r="E10">
        <v>-14804000000</v>
      </c>
      <c r="F10">
        <v>-16377000000</v>
      </c>
      <c r="K10" t="s">
        <v>187</v>
      </c>
      <c r="L10">
        <v>-2233763000</v>
      </c>
      <c r="M10">
        <v>-2171934000</v>
      </c>
      <c r="N10">
        <v>-2334691000</v>
      </c>
      <c r="O10">
        <v>-2365529000</v>
      </c>
      <c r="P10">
        <v>-2400502000</v>
      </c>
      <c r="V10" t="s">
        <v>186</v>
      </c>
      <c r="W10">
        <v>-2250300000</v>
      </c>
      <c r="X10">
        <v>-2249200000</v>
      </c>
      <c r="Y10">
        <v>-2703200000</v>
      </c>
      <c r="Z10">
        <v>-3262200000</v>
      </c>
      <c r="AA10">
        <v>-3365100000</v>
      </c>
    </row>
    <row r="11" spans="1:28" x14ac:dyDescent="0.2">
      <c r="A11" t="s">
        <v>188</v>
      </c>
      <c r="B11">
        <v>-8949000000</v>
      </c>
      <c r="C11">
        <v>-9534000000</v>
      </c>
      <c r="D11">
        <v>-9911000000</v>
      </c>
      <c r="E11">
        <v>-10954000000</v>
      </c>
      <c r="F11">
        <v>-12317000000</v>
      </c>
      <c r="K11" t="s">
        <v>196</v>
      </c>
      <c r="L11">
        <v>236770000</v>
      </c>
      <c r="M11">
        <v>-11839000</v>
      </c>
      <c r="N11">
        <v>526808000</v>
      </c>
      <c r="O11">
        <v>283811000</v>
      </c>
      <c r="P11">
        <v>229751000</v>
      </c>
      <c r="V11" t="s">
        <v>187</v>
      </c>
      <c r="W11">
        <v>-2213800000</v>
      </c>
      <c r="X11">
        <v>-2208700000</v>
      </c>
      <c r="Y11">
        <v>-2665400000</v>
      </c>
      <c r="Z11">
        <v>-3213900000</v>
      </c>
      <c r="AA11">
        <v>-3332400000</v>
      </c>
    </row>
    <row r="12" spans="1:28" x14ac:dyDescent="0.2">
      <c r="A12" t="s">
        <v>189</v>
      </c>
      <c r="B12">
        <v>-3753000000</v>
      </c>
      <c r="C12">
        <v>-3592000000</v>
      </c>
      <c r="D12">
        <v>-3114000000</v>
      </c>
      <c r="E12">
        <v>-3850000000</v>
      </c>
      <c r="F12">
        <v>-4060000000</v>
      </c>
      <c r="K12" t="s">
        <v>197</v>
      </c>
      <c r="L12">
        <v>-26928000</v>
      </c>
      <c r="M12">
        <v>-480705000</v>
      </c>
      <c r="N12">
        <v>-135931000</v>
      </c>
      <c r="O12">
        <v>3954000</v>
      </c>
      <c r="P12">
        <v>32323000</v>
      </c>
      <c r="V12" t="s">
        <v>188</v>
      </c>
      <c r="W12">
        <v>-340000000</v>
      </c>
      <c r="X12">
        <v>-368700000</v>
      </c>
      <c r="Y12">
        <v>-405200000</v>
      </c>
      <c r="Z12">
        <v>-465800000</v>
      </c>
      <c r="AA12">
        <v>-450900000</v>
      </c>
    </row>
    <row r="13" spans="1:28" x14ac:dyDescent="0.2">
      <c r="A13" t="s">
        <v>196</v>
      </c>
      <c r="B13">
        <v>4772000000</v>
      </c>
      <c r="C13">
        <v>3115000000</v>
      </c>
      <c r="D13">
        <v>6937000000</v>
      </c>
      <c r="E13">
        <v>6675000000</v>
      </c>
      <c r="F13">
        <v>5915000000</v>
      </c>
      <c r="K13" t="s">
        <v>198</v>
      </c>
      <c r="L13">
        <v>-21240000</v>
      </c>
      <c r="M13">
        <v>-47259000</v>
      </c>
      <c r="N13">
        <v>-44300000</v>
      </c>
      <c r="O13">
        <v>-12826000</v>
      </c>
      <c r="P13">
        <v>268000</v>
      </c>
      <c r="V13" t="s">
        <v>189</v>
      </c>
      <c r="W13">
        <v>-1873800000</v>
      </c>
      <c r="X13">
        <v>-1840000000</v>
      </c>
      <c r="Y13">
        <v>-2260200000</v>
      </c>
      <c r="Z13">
        <v>-2748100000</v>
      </c>
      <c r="AA13">
        <v>-2881500000</v>
      </c>
    </row>
    <row r="14" spans="1:28" x14ac:dyDescent="0.2">
      <c r="A14" t="s">
        <v>197</v>
      </c>
      <c r="B14">
        <v>29000000</v>
      </c>
      <c r="C14">
        <v>-228000000</v>
      </c>
      <c r="D14">
        <v>-276000000</v>
      </c>
      <c r="E14">
        <v>-24000000</v>
      </c>
      <c r="F14">
        <v>286000000</v>
      </c>
      <c r="K14" t="s">
        <v>199</v>
      </c>
      <c r="L14">
        <v>-21240000</v>
      </c>
      <c r="M14">
        <v>-47259000</v>
      </c>
      <c r="N14">
        <v>-44300000</v>
      </c>
      <c r="O14">
        <v>-12826000</v>
      </c>
      <c r="P14">
        <v>-268000</v>
      </c>
      <c r="V14" t="s">
        <v>195</v>
      </c>
      <c r="W14">
        <v>-61700000</v>
      </c>
      <c r="X14">
        <v>-56600000</v>
      </c>
      <c r="Y14">
        <v>-61700000</v>
      </c>
      <c r="Z14">
        <v>-82200000</v>
      </c>
      <c r="AA14">
        <v>-89000000</v>
      </c>
    </row>
    <row r="15" spans="1:28" x14ac:dyDescent="0.2">
      <c r="A15" t="s">
        <v>198</v>
      </c>
      <c r="B15">
        <v>-49000000</v>
      </c>
      <c r="C15">
        <v>-89000000</v>
      </c>
      <c r="D15">
        <v>-262000000</v>
      </c>
      <c r="E15">
        <v>-205000000</v>
      </c>
      <c r="F15">
        <v>6000000</v>
      </c>
      <c r="K15" t="s">
        <v>200</v>
      </c>
      <c r="L15">
        <v>-21240000</v>
      </c>
      <c r="M15">
        <v>-47259000</v>
      </c>
      <c r="V15" t="s">
        <v>192</v>
      </c>
      <c r="W15">
        <v>25200000</v>
      </c>
      <c r="X15">
        <v>16100000</v>
      </c>
      <c r="Y15">
        <v>23900000</v>
      </c>
      <c r="Z15">
        <v>33900000</v>
      </c>
      <c r="AA15">
        <v>56300000</v>
      </c>
    </row>
    <row r="16" spans="1:28" x14ac:dyDescent="0.2">
      <c r="A16" t="s">
        <v>199</v>
      </c>
      <c r="B16">
        <v>-49000000</v>
      </c>
      <c r="C16">
        <v>-89000000</v>
      </c>
      <c r="D16">
        <v>-262000000</v>
      </c>
      <c r="E16">
        <v>-205000000</v>
      </c>
      <c r="F16">
        <v>-6000000</v>
      </c>
      <c r="K16" t="s">
        <v>207</v>
      </c>
      <c r="L16" t="s">
        <v>340</v>
      </c>
      <c r="M16">
        <v>-601599000</v>
      </c>
      <c r="N16">
        <v>-40518000</v>
      </c>
      <c r="O16" t="s">
        <v>340</v>
      </c>
      <c r="P16" t="s">
        <v>340</v>
      </c>
      <c r="V16" t="s">
        <v>193</v>
      </c>
      <c r="W16">
        <v>25200000</v>
      </c>
      <c r="X16">
        <v>16100000</v>
      </c>
      <c r="Y16">
        <v>23900000</v>
      </c>
      <c r="Z16">
        <v>33900000</v>
      </c>
      <c r="AA16">
        <v>56300000</v>
      </c>
    </row>
    <row r="17" spans="1:27" x14ac:dyDescent="0.2">
      <c r="A17" t="s">
        <v>341</v>
      </c>
      <c r="B17">
        <v>78000000</v>
      </c>
      <c r="C17">
        <v>-139000000</v>
      </c>
      <c r="D17">
        <v>-14000000</v>
      </c>
      <c r="E17">
        <v>181000000</v>
      </c>
      <c r="F17">
        <v>280000000</v>
      </c>
      <c r="K17" t="s">
        <v>342</v>
      </c>
      <c r="L17" t="s">
        <v>340</v>
      </c>
      <c r="M17">
        <v>-601599000</v>
      </c>
      <c r="N17">
        <v>-33947000</v>
      </c>
      <c r="O17" t="s">
        <v>340</v>
      </c>
      <c r="P17" t="s">
        <v>340</v>
      </c>
      <c r="V17" t="s">
        <v>196</v>
      </c>
      <c r="W17">
        <v>436100000</v>
      </c>
      <c r="X17">
        <v>208800000</v>
      </c>
      <c r="Y17">
        <v>554600000</v>
      </c>
      <c r="Z17">
        <v>640500000</v>
      </c>
      <c r="AA17">
        <v>621500000</v>
      </c>
    </row>
    <row r="18" spans="1:27" x14ac:dyDescent="0.2">
      <c r="A18" t="s">
        <v>213</v>
      </c>
      <c r="B18">
        <v>4801000000</v>
      </c>
      <c r="C18">
        <v>2887000000</v>
      </c>
      <c r="D18">
        <v>6661000000</v>
      </c>
      <c r="E18">
        <v>6651000000</v>
      </c>
      <c r="F18">
        <v>6201000000</v>
      </c>
      <c r="K18" t="s">
        <v>211</v>
      </c>
      <c r="N18">
        <v>-4750000</v>
      </c>
      <c r="V18" t="s">
        <v>197</v>
      </c>
      <c r="W18">
        <v>-18500000</v>
      </c>
      <c r="X18">
        <v>-46500000</v>
      </c>
      <c r="Y18">
        <v>-49100000</v>
      </c>
      <c r="Z18">
        <v>-88900000</v>
      </c>
      <c r="AA18">
        <v>-143400000</v>
      </c>
    </row>
    <row r="19" spans="1:27" x14ac:dyDescent="0.2">
      <c r="A19" t="s">
        <v>214</v>
      </c>
      <c r="B19">
        <v>-772000000</v>
      </c>
      <c r="C19">
        <v>-348000000</v>
      </c>
      <c r="D19">
        <v>-934000000</v>
      </c>
      <c r="E19">
        <v>-605000000</v>
      </c>
      <c r="F19">
        <v>-1131000000</v>
      </c>
      <c r="K19" t="s">
        <v>209</v>
      </c>
      <c r="N19">
        <v>-1821000</v>
      </c>
      <c r="V19" t="s">
        <v>198</v>
      </c>
      <c r="W19">
        <v>-33100000</v>
      </c>
      <c r="X19">
        <v>-43000000</v>
      </c>
      <c r="Y19">
        <v>-42700000</v>
      </c>
      <c r="Z19">
        <v>-58900000</v>
      </c>
      <c r="AA19">
        <v>-50300000</v>
      </c>
    </row>
    <row r="20" spans="1:27" x14ac:dyDescent="0.2">
      <c r="A20" t="s">
        <v>215</v>
      </c>
      <c r="B20">
        <v>4029000000</v>
      </c>
      <c r="C20">
        <v>2539000000</v>
      </c>
      <c r="D20">
        <v>5727000000</v>
      </c>
      <c r="E20">
        <v>6046000000</v>
      </c>
      <c r="F20">
        <v>5070000000</v>
      </c>
      <c r="K20" t="s">
        <v>343</v>
      </c>
      <c r="V20" t="s">
        <v>199</v>
      </c>
      <c r="W20">
        <v>-32400000</v>
      </c>
      <c r="X20">
        <v>-42500000</v>
      </c>
      <c r="Y20">
        <v>-42200000</v>
      </c>
      <c r="Z20">
        <v>-44300000</v>
      </c>
      <c r="AA20">
        <v>-45300000</v>
      </c>
    </row>
    <row r="21" spans="1:27" x14ac:dyDescent="0.2">
      <c r="A21" t="s">
        <v>217</v>
      </c>
      <c r="B21">
        <v>4029000000</v>
      </c>
      <c r="C21">
        <v>2539000000</v>
      </c>
      <c r="D21">
        <v>5727000000</v>
      </c>
      <c r="E21">
        <v>6046000000</v>
      </c>
      <c r="F21">
        <v>5070000000</v>
      </c>
      <c r="K21" t="s">
        <v>341</v>
      </c>
      <c r="L21">
        <v>-5688000</v>
      </c>
      <c r="M21">
        <v>168153000</v>
      </c>
      <c r="N21">
        <v>-51113000</v>
      </c>
      <c r="O21">
        <v>16780000</v>
      </c>
      <c r="P21">
        <v>32055000</v>
      </c>
      <c r="V21" t="s">
        <v>200</v>
      </c>
      <c r="W21">
        <v>-47800000</v>
      </c>
      <c r="X21">
        <v>-77900000</v>
      </c>
      <c r="Y21">
        <v>-72100000</v>
      </c>
      <c r="Z21">
        <v>-123700000</v>
      </c>
      <c r="AA21">
        <v>-158000000</v>
      </c>
    </row>
    <row r="22" spans="1:27" x14ac:dyDescent="0.2">
      <c r="A22" t="s">
        <v>219</v>
      </c>
      <c r="B22">
        <v>4029000000</v>
      </c>
      <c r="C22">
        <v>2539000000</v>
      </c>
      <c r="D22">
        <v>5727000000</v>
      </c>
      <c r="E22">
        <v>6046000000</v>
      </c>
      <c r="F22">
        <v>5070000000</v>
      </c>
      <c r="K22" t="s">
        <v>213</v>
      </c>
      <c r="L22">
        <v>209842000</v>
      </c>
      <c r="M22">
        <v>-492544000</v>
      </c>
      <c r="N22">
        <v>390877000</v>
      </c>
      <c r="O22">
        <v>287765000</v>
      </c>
      <c r="P22">
        <v>262074000</v>
      </c>
      <c r="V22" t="s">
        <v>201</v>
      </c>
      <c r="W22">
        <v>15400000</v>
      </c>
      <c r="X22">
        <v>35400000</v>
      </c>
      <c r="Y22">
        <v>29900000</v>
      </c>
      <c r="Z22">
        <v>79400000</v>
      </c>
      <c r="AA22">
        <v>112700000</v>
      </c>
    </row>
    <row r="23" spans="1:27" x14ac:dyDescent="0.2">
      <c r="A23" t="s">
        <v>220</v>
      </c>
      <c r="B23">
        <v>4029000000</v>
      </c>
      <c r="C23">
        <v>2539000000</v>
      </c>
      <c r="D23">
        <v>5727000000</v>
      </c>
      <c r="E23">
        <v>6046000000</v>
      </c>
      <c r="F23">
        <v>5070000000</v>
      </c>
      <c r="K23" t="s">
        <v>214</v>
      </c>
      <c r="L23">
        <v>-70024000</v>
      </c>
      <c r="M23">
        <v>-49387000</v>
      </c>
      <c r="N23">
        <v>-32072000</v>
      </c>
      <c r="O23">
        <v>101046000</v>
      </c>
      <c r="P23">
        <v>-30006000</v>
      </c>
      <c r="V23" t="s">
        <v>202</v>
      </c>
      <c r="W23">
        <v>-700000</v>
      </c>
      <c r="X23">
        <v>-500000</v>
      </c>
      <c r="Y23">
        <v>-500000</v>
      </c>
      <c r="Z23">
        <v>-14600000</v>
      </c>
      <c r="AA23">
        <v>-5000000</v>
      </c>
    </row>
    <row r="24" spans="1:27" x14ac:dyDescent="0.2">
      <c r="A24" t="s">
        <v>221</v>
      </c>
      <c r="B24">
        <v>4029000000</v>
      </c>
      <c r="C24">
        <v>2539000000</v>
      </c>
      <c r="D24">
        <v>5727000000</v>
      </c>
      <c r="E24">
        <v>6046000000</v>
      </c>
      <c r="F24">
        <v>5070000000</v>
      </c>
      <c r="K24" t="s">
        <v>344</v>
      </c>
      <c r="L24">
        <v>-47679000</v>
      </c>
      <c r="M24">
        <v>-7246000</v>
      </c>
      <c r="N24">
        <v>1255000</v>
      </c>
      <c r="O24">
        <v>-2042000</v>
      </c>
      <c r="P24">
        <v>-26000</v>
      </c>
      <c r="V24" t="s">
        <v>204</v>
      </c>
      <c r="W24">
        <v>-700000</v>
      </c>
      <c r="X24">
        <v>-500000</v>
      </c>
      <c r="Y24">
        <v>-500000</v>
      </c>
      <c r="Z24">
        <v>-14600000</v>
      </c>
      <c r="AA24">
        <v>-5000000</v>
      </c>
    </row>
    <row r="25" spans="1:27" x14ac:dyDescent="0.2">
      <c r="A25" t="s">
        <v>222</v>
      </c>
      <c r="K25" t="s">
        <v>215</v>
      </c>
      <c r="L25">
        <v>92139000</v>
      </c>
      <c r="M25">
        <v>-549177000</v>
      </c>
      <c r="N25">
        <v>360060000</v>
      </c>
      <c r="O25">
        <v>386769000</v>
      </c>
      <c r="P25">
        <v>232042000</v>
      </c>
      <c r="V25" t="s">
        <v>203</v>
      </c>
    </row>
    <row r="26" spans="1:27" x14ac:dyDescent="0.2">
      <c r="A26" t="s">
        <v>223</v>
      </c>
      <c r="K26" t="s">
        <v>217</v>
      </c>
      <c r="L26">
        <v>92139000</v>
      </c>
      <c r="M26">
        <v>-549177000</v>
      </c>
      <c r="N26">
        <v>360060000</v>
      </c>
      <c r="O26">
        <v>386769000</v>
      </c>
      <c r="P26">
        <v>232042000</v>
      </c>
      <c r="V26" t="s">
        <v>205</v>
      </c>
      <c r="W26">
        <v>10500000</v>
      </c>
      <c r="X26">
        <v>-3900000</v>
      </c>
      <c r="Y26">
        <v>-9000000</v>
      </c>
      <c r="Z26">
        <v>-2200000</v>
      </c>
      <c r="AA26">
        <v>-69400000</v>
      </c>
    </row>
    <row r="27" spans="1:27" x14ac:dyDescent="0.2">
      <c r="A27" t="s">
        <v>224</v>
      </c>
      <c r="B27">
        <v>39117000000</v>
      </c>
      <c r="C27">
        <v>37403000000</v>
      </c>
      <c r="D27">
        <v>44538000000</v>
      </c>
      <c r="E27">
        <v>46710000000</v>
      </c>
      <c r="F27">
        <v>51217000000</v>
      </c>
      <c r="K27" t="s">
        <v>219</v>
      </c>
      <c r="L27">
        <v>92139000</v>
      </c>
      <c r="M27">
        <v>-549177000</v>
      </c>
      <c r="N27">
        <v>360060000</v>
      </c>
      <c r="O27">
        <v>386769000</v>
      </c>
      <c r="P27">
        <v>232042000</v>
      </c>
      <c r="V27" t="s">
        <v>206</v>
      </c>
      <c r="W27">
        <v>10200000</v>
      </c>
      <c r="X27">
        <v>-3900000</v>
      </c>
      <c r="Y27">
        <v>-9000000</v>
      </c>
      <c r="Z27">
        <v>-2200000</v>
      </c>
      <c r="AA27">
        <v>-69400000</v>
      </c>
    </row>
    <row r="28" spans="1:27" x14ac:dyDescent="0.2">
      <c r="A28" t="s">
        <v>226</v>
      </c>
      <c r="B28">
        <v>0.16</v>
      </c>
      <c r="C28">
        <v>0.12</v>
      </c>
      <c r="D28">
        <v>0.14000000000000001</v>
      </c>
      <c r="E28">
        <v>0.09</v>
      </c>
      <c r="F28">
        <v>0.18</v>
      </c>
      <c r="K28" t="s">
        <v>220</v>
      </c>
      <c r="L28">
        <v>92139000</v>
      </c>
      <c r="M28">
        <v>-549177000</v>
      </c>
      <c r="N28">
        <v>360060000</v>
      </c>
      <c r="O28">
        <v>386769000</v>
      </c>
      <c r="P28">
        <v>232042000</v>
      </c>
      <c r="V28" t="s">
        <v>345</v>
      </c>
      <c r="W28">
        <v>300000</v>
      </c>
      <c r="X28" t="s">
        <v>340</v>
      </c>
    </row>
    <row r="29" spans="1:27" x14ac:dyDescent="0.2">
      <c r="A29" t="s">
        <v>216</v>
      </c>
      <c r="K29" t="s">
        <v>241</v>
      </c>
      <c r="O29">
        <v>899000</v>
      </c>
      <c r="P29">
        <v>901000</v>
      </c>
      <c r="V29" t="s">
        <v>346</v>
      </c>
      <c r="W29" t="s">
        <v>340</v>
      </c>
    </row>
    <row r="30" spans="1:27" x14ac:dyDescent="0.2">
      <c r="A30" t="s">
        <v>242</v>
      </c>
      <c r="B30">
        <v>2.5499999999999998</v>
      </c>
      <c r="C30">
        <v>1.63</v>
      </c>
      <c r="D30">
        <v>3.64</v>
      </c>
      <c r="E30">
        <v>3.83</v>
      </c>
      <c r="F30">
        <v>3.27</v>
      </c>
      <c r="K30" t="s">
        <v>221</v>
      </c>
      <c r="L30">
        <v>92139000</v>
      </c>
      <c r="M30">
        <v>-549177000</v>
      </c>
      <c r="N30">
        <v>360060000</v>
      </c>
      <c r="O30">
        <v>387668000</v>
      </c>
      <c r="P30">
        <v>232943000</v>
      </c>
      <c r="V30" t="s">
        <v>347</v>
      </c>
      <c r="W30" t="s">
        <v>340</v>
      </c>
    </row>
    <row r="31" spans="1:27" x14ac:dyDescent="0.2">
      <c r="A31" t="s">
        <v>243</v>
      </c>
      <c r="B31">
        <v>2.5499999999999998</v>
      </c>
      <c r="C31">
        <v>1.63</v>
      </c>
      <c r="D31">
        <v>3.64</v>
      </c>
      <c r="E31">
        <v>3.83</v>
      </c>
      <c r="F31">
        <v>3.27</v>
      </c>
      <c r="K31" t="s">
        <v>222</v>
      </c>
      <c r="V31" t="s">
        <v>207</v>
      </c>
      <c r="W31">
        <v>4100000</v>
      </c>
      <c r="X31">
        <v>400000</v>
      </c>
      <c r="Y31">
        <v>2600000</v>
      </c>
      <c r="Z31">
        <v>-27800000</v>
      </c>
      <c r="AA31">
        <v>-23700000</v>
      </c>
    </row>
    <row r="32" spans="1:27" x14ac:dyDescent="0.2">
      <c r="A32" t="s">
        <v>244</v>
      </c>
      <c r="K32" t="s">
        <v>223</v>
      </c>
      <c r="V32" t="s">
        <v>348</v>
      </c>
      <c r="W32">
        <v>2100000</v>
      </c>
      <c r="Z32">
        <v>-27800000</v>
      </c>
      <c r="AA32">
        <v>-23700000</v>
      </c>
    </row>
    <row r="33" spans="1:27" x14ac:dyDescent="0.2">
      <c r="A33" t="s">
        <v>245</v>
      </c>
      <c r="B33">
        <v>2.4900000000000002</v>
      </c>
      <c r="C33">
        <v>1.6</v>
      </c>
      <c r="D33">
        <v>3.56</v>
      </c>
      <c r="E33">
        <v>3.75</v>
      </c>
      <c r="F33">
        <v>3.23</v>
      </c>
      <c r="K33" t="s">
        <v>224</v>
      </c>
      <c r="L33">
        <v>5267132000</v>
      </c>
      <c r="M33">
        <v>4474667000</v>
      </c>
      <c r="N33">
        <v>5683466000</v>
      </c>
      <c r="O33">
        <v>5903636000</v>
      </c>
      <c r="P33">
        <v>5701879000</v>
      </c>
      <c r="V33" t="s">
        <v>208</v>
      </c>
      <c r="W33">
        <v>2000000</v>
      </c>
      <c r="X33">
        <v>400000</v>
      </c>
      <c r="Y33">
        <v>2600000</v>
      </c>
    </row>
    <row r="34" spans="1:27" x14ac:dyDescent="0.2">
      <c r="A34" t="s">
        <v>246</v>
      </c>
      <c r="B34">
        <v>2.4900000000000002</v>
      </c>
      <c r="C34">
        <v>1.6</v>
      </c>
      <c r="D34">
        <v>3.56</v>
      </c>
      <c r="E34">
        <v>3.75</v>
      </c>
      <c r="F34">
        <v>3.23</v>
      </c>
      <c r="K34" t="s">
        <v>225</v>
      </c>
      <c r="L34">
        <v>236770000</v>
      </c>
      <c r="M34">
        <v>-613438000</v>
      </c>
      <c r="N34">
        <v>486290000</v>
      </c>
      <c r="O34">
        <v>283811000</v>
      </c>
      <c r="P34">
        <v>229751000</v>
      </c>
      <c r="V34" t="s">
        <v>213</v>
      </c>
      <c r="W34">
        <v>417600000</v>
      </c>
      <c r="X34">
        <v>162300000</v>
      </c>
      <c r="Y34">
        <v>505300000</v>
      </c>
      <c r="Z34">
        <v>551700000</v>
      </c>
      <c r="AA34">
        <v>478300000</v>
      </c>
    </row>
    <row r="35" spans="1:27" x14ac:dyDescent="0.2">
      <c r="A35" t="s">
        <v>247</v>
      </c>
      <c r="K35" t="s">
        <v>228</v>
      </c>
      <c r="M35">
        <v>-120172000</v>
      </c>
      <c r="N35">
        <v>396903000</v>
      </c>
      <c r="O35">
        <v>266327000</v>
      </c>
      <c r="P35">
        <v>244829000</v>
      </c>
      <c r="V35" t="s">
        <v>214</v>
      </c>
      <c r="W35">
        <v>-108600000</v>
      </c>
      <c r="X35">
        <v>-39200000</v>
      </c>
      <c r="Y35">
        <v>-128500000</v>
      </c>
      <c r="Z35">
        <v>-127400000</v>
      </c>
      <c r="AA35">
        <v>-117800000</v>
      </c>
    </row>
    <row r="36" spans="1:27" x14ac:dyDescent="0.2">
      <c r="A36" t="s">
        <v>248</v>
      </c>
      <c r="B36">
        <v>1579700000</v>
      </c>
      <c r="C36">
        <v>1591600000</v>
      </c>
      <c r="D36">
        <v>1573000000</v>
      </c>
      <c r="E36">
        <v>1578800000</v>
      </c>
      <c r="F36">
        <v>1551600000</v>
      </c>
      <c r="K36" t="s">
        <v>226</v>
      </c>
      <c r="L36">
        <v>0.33</v>
      </c>
      <c r="M36">
        <v>-0.1</v>
      </c>
      <c r="N36">
        <v>0.08</v>
      </c>
      <c r="O36">
        <v>-0.35</v>
      </c>
      <c r="P36">
        <v>0.11</v>
      </c>
      <c r="V36" t="s">
        <v>215</v>
      </c>
      <c r="W36">
        <v>309000000</v>
      </c>
      <c r="X36">
        <v>123100000</v>
      </c>
      <c r="Y36">
        <v>376800000</v>
      </c>
      <c r="Z36">
        <v>424300000</v>
      </c>
      <c r="AA36">
        <v>360500000</v>
      </c>
    </row>
    <row r="37" spans="1:27" x14ac:dyDescent="0.2">
      <c r="A37" t="s">
        <v>249</v>
      </c>
      <c r="B37">
        <v>1618400000</v>
      </c>
      <c r="C37">
        <v>1591600000</v>
      </c>
      <c r="D37">
        <v>1609400000</v>
      </c>
      <c r="E37">
        <v>1610800000</v>
      </c>
      <c r="F37">
        <v>1569800000</v>
      </c>
      <c r="K37" t="s">
        <v>229</v>
      </c>
      <c r="M37">
        <v>537000</v>
      </c>
      <c r="N37">
        <v>527323000</v>
      </c>
      <c r="O37">
        <v>303811000</v>
      </c>
      <c r="P37">
        <v>309751000</v>
      </c>
      <c r="V37" t="s">
        <v>217</v>
      </c>
      <c r="W37">
        <v>309000000</v>
      </c>
      <c r="X37">
        <v>123100000</v>
      </c>
      <c r="Y37">
        <v>376800000</v>
      </c>
      <c r="Z37">
        <v>424400000</v>
      </c>
      <c r="AA37">
        <v>360600000</v>
      </c>
    </row>
    <row r="38" spans="1:27" x14ac:dyDescent="0.2">
      <c r="A38" t="s">
        <v>253</v>
      </c>
      <c r="K38" t="s">
        <v>349</v>
      </c>
      <c r="V38" t="s">
        <v>218</v>
      </c>
      <c r="W38">
        <v>-46600000</v>
      </c>
      <c r="X38">
        <v>-44200000</v>
      </c>
      <c r="Y38">
        <v>-67200000</v>
      </c>
      <c r="Z38">
        <v>-70900000</v>
      </c>
      <c r="AA38">
        <v>-55700000</v>
      </c>
    </row>
    <row r="39" spans="1:27" x14ac:dyDescent="0.2">
      <c r="A39" t="s">
        <v>250</v>
      </c>
      <c r="B39">
        <v>0.86</v>
      </c>
      <c r="C39">
        <v>0.95</v>
      </c>
      <c r="D39">
        <v>1.07</v>
      </c>
      <c r="E39">
        <v>1.19</v>
      </c>
      <c r="F39">
        <v>1.32</v>
      </c>
      <c r="K39" t="s">
        <v>242</v>
      </c>
      <c r="L39">
        <v>0.2</v>
      </c>
      <c r="M39">
        <v>-1.21</v>
      </c>
      <c r="N39">
        <v>0.77</v>
      </c>
      <c r="O39">
        <v>0.86</v>
      </c>
      <c r="P39">
        <v>0.53</v>
      </c>
      <c r="V39" t="s">
        <v>219</v>
      </c>
      <c r="W39">
        <v>262400000</v>
      </c>
      <c r="X39">
        <v>78900000</v>
      </c>
      <c r="Y39">
        <v>309600000</v>
      </c>
      <c r="Z39">
        <v>353500000</v>
      </c>
      <c r="AA39">
        <v>304900000</v>
      </c>
    </row>
    <row r="40" spans="1:27" x14ac:dyDescent="0.2">
      <c r="A40" t="s">
        <v>251</v>
      </c>
      <c r="B40">
        <v>0.86</v>
      </c>
      <c r="C40">
        <v>0.95</v>
      </c>
      <c r="D40">
        <v>1.07</v>
      </c>
      <c r="E40">
        <v>1.19</v>
      </c>
      <c r="F40">
        <v>1.32</v>
      </c>
      <c r="K40" t="s">
        <v>243</v>
      </c>
      <c r="L40">
        <v>0.2</v>
      </c>
      <c r="M40">
        <v>-1.21</v>
      </c>
      <c r="N40">
        <v>0.77</v>
      </c>
      <c r="O40">
        <v>0.86</v>
      </c>
      <c r="P40">
        <v>0.53</v>
      </c>
      <c r="V40" t="s">
        <v>220</v>
      </c>
      <c r="W40">
        <v>262400000</v>
      </c>
      <c r="X40">
        <v>78900000</v>
      </c>
      <c r="Y40">
        <v>309600000</v>
      </c>
      <c r="Z40">
        <v>353500000</v>
      </c>
      <c r="AA40">
        <v>304900000</v>
      </c>
    </row>
    <row r="41" spans="1:27" x14ac:dyDescent="0.2">
      <c r="A41" t="s">
        <v>350</v>
      </c>
      <c r="C41">
        <v>0.1</v>
      </c>
      <c r="D41">
        <v>0.1</v>
      </c>
      <c r="E41">
        <v>0.1</v>
      </c>
      <c r="F41">
        <v>0.1</v>
      </c>
      <c r="K41" t="s">
        <v>245</v>
      </c>
      <c r="L41">
        <v>0.2</v>
      </c>
      <c r="M41">
        <v>-1.21</v>
      </c>
      <c r="N41">
        <v>0.77</v>
      </c>
      <c r="O41">
        <v>0.84</v>
      </c>
      <c r="P41">
        <v>0.52</v>
      </c>
      <c r="V41" t="s">
        <v>221</v>
      </c>
      <c r="W41">
        <v>262400000</v>
      </c>
      <c r="X41">
        <v>78900000</v>
      </c>
      <c r="Y41">
        <v>309600000</v>
      </c>
      <c r="Z41">
        <v>353500000</v>
      </c>
      <c r="AA41">
        <v>304900000</v>
      </c>
    </row>
    <row r="42" spans="1:27" x14ac:dyDescent="0.2">
      <c r="A42" t="s">
        <v>242</v>
      </c>
      <c r="B42">
        <v>2.5499999999999998</v>
      </c>
      <c r="C42">
        <v>1.63</v>
      </c>
      <c r="D42">
        <v>3.64</v>
      </c>
      <c r="E42">
        <v>3.83</v>
      </c>
      <c r="F42">
        <v>3.27</v>
      </c>
      <c r="K42" t="s">
        <v>246</v>
      </c>
      <c r="L42">
        <v>0.2</v>
      </c>
      <c r="M42">
        <v>-1.21</v>
      </c>
      <c r="N42">
        <v>0.77</v>
      </c>
      <c r="O42">
        <v>0.84</v>
      </c>
      <c r="P42">
        <v>0.52</v>
      </c>
      <c r="V42" t="s">
        <v>222</v>
      </c>
    </row>
    <row r="43" spans="1:27" x14ac:dyDescent="0.2">
      <c r="A43" t="s">
        <v>245</v>
      </c>
      <c r="B43">
        <v>2.4900000000000002</v>
      </c>
      <c r="C43">
        <v>1.6</v>
      </c>
      <c r="D43">
        <v>3.56</v>
      </c>
      <c r="E43">
        <v>3.75</v>
      </c>
      <c r="F43">
        <v>3.23</v>
      </c>
      <c r="K43" t="s">
        <v>248</v>
      </c>
      <c r="L43">
        <v>450963000</v>
      </c>
      <c r="M43">
        <v>454089000</v>
      </c>
      <c r="N43">
        <v>465504000</v>
      </c>
      <c r="O43">
        <v>451426000</v>
      </c>
      <c r="P43">
        <v>440324000</v>
      </c>
      <c r="V43" t="s">
        <v>223</v>
      </c>
    </row>
    <row r="44" spans="1:27" x14ac:dyDescent="0.2">
      <c r="A44" t="s">
        <v>254</v>
      </c>
      <c r="B44">
        <v>1579700000</v>
      </c>
      <c r="C44">
        <v>1591600000</v>
      </c>
      <c r="D44">
        <v>1573000000</v>
      </c>
      <c r="E44">
        <v>1578800000</v>
      </c>
      <c r="F44">
        <v>1551600000</v>
      </c>
      <c r="K44" t="s">
        <v>249</v>
      </c>
      <c r="L44">
        <v>454274000</v>
      </c>
      <c r="M44">
        <v>454089000</v>
      </c>
      <c r="N44">
        <v>468644000</v>
      </c>
      <c r="O44">
        <v>461509000</v>
      </c>
      <c r="P44">
        <v>451011000</v>
      </c>
      <c r="V44" t="s">
        <v>224</v>
      </c>
      <c r="W44">
        <v>5502200000</v>
      </c>
      <c r="X44">
        <v>5234400000</v>
      </c>
      <c r="Y44">
        <v>6805400000</v>
      </c>
      <c r="Z44">
        <v>8465100000</v>
      </c>
      <c r="AA44">
        <v>8601700000</v>
      </c>
    </row>
    <row r="45" spans="1:27" x14ac:dyDescent="0.2">
      <c r="A45" t="s">
        <v>255</v>
      </c>
      <c r="B45">
        <v>1618400000</v>
      </c>
      <c r="C45">
        <v>1591600000</v>
      </c>
      <c r="D45">
        <v>1609400000</v>
      </c>
      <c r="E45">
        <v>1610800000</v>
      </c>
      <c r="F45">
        <v>1569800000</v>
      </c>
      <c r="K45" t="s">
        <v>253</v>
      </c>
      <c r="M45">
        <v>-0.26</v>
      </c>
      <c r="N45">
        <v>0.85</v>
      </c>
      <c r="O45">
        <v>0.57999999999999996</v>
      </c>
      <c r="P45">
        <v>0.54</v>
      </c>
      <c r="V45" t="s">
        <v>225</v>
      </c>
      <c r="W45">
        <v>440200000</v>
      </c>
      <c r="X45">
        <v>209200000</v>
      </c>
      <c r="Y45">
        <v>557100000</v>
      </c>
      <c r="Z45">
        <v>640600000</v>
      </c>
      <c r="AA45">
        <v>621600000</v>
      </c>
    </row>
    <row r="46" spans="1:27" x14ac:dyDescent="0.2">
      <c r="A46" t="s">
        <v>351</v>
      </c>
      <c r="B46">
        <f>B18+(-B110)</f>
        <v>4954000000</v>
      </c>
      <c r="C46">
        <f>C18+(-C110)</f>
        <v>3027000000</v>
      </c>
      <c r="D46">
        <f>D18+(-D110)</f>
        <v>6954000000</v>
      </c>
      <c r="E46">
        <f>E18+(-E110)</f>
        <v>6941000000</v>
      </c>
      <c r="F46">
        <f>F18+(-F110)</f>
        <v>6548000000</v>
      </c>
      <c r="K46" t="s">
        <v>252</v>
      </c>
      <c r="V46" t="s">
        <v>226</v>
      </c>
      <c r="W46">
        <v>0.26</v>
      </c>
      <c r="X46">
        <v>0.24</v>
      </c>
      <c r="Y46">
        <v>0.25</v>
      </c>
      <c r="Z46">
        <v>0.23</v>
      </c>
      <c r="AA46">
        <v>0.25</v>
      </c>
    </row>
    <row r="47" spans="1:27" x14ac:dyDescent="0.2">
      <c r="K47" t="s">
        <v>242</v>
      </c>
      <c r="L47">
        <v>0.2</v>
      </c>
      <c r="M47">
        <v>-1.21</v>
      </c>
      <c r="N47">
        <v>0.77</v>
      </c>
      <c r="O47">
        <v>0.86</v>
      </c>
      <c r="P47">
        <v>0.53</v>
      </c>
      <c r="V47" t="s">
        <v>352</v>
      </c>
      <c r="Y47">
        <v>557100000</v>
      </c>
      <c r="Z47">
        <v>640600000</v>
      </c>
    </row>
    <row r="48" spans="1:27" x14ac:dyDescent="0.2">
      <c r="K48" t="s">
        <v>245</v>
      </c>
      <c r="L48">
        <v>0.2</v>
      </c>
      <c r="M48">
        <v>-1.21</v>
      </c>
      <c r="N48">
        <v>0.77</v>
      </c>
      <c r="O48">
        <v>0.84</v>
      </c>
      <c r="P48">
        <v>0.52</v>
      </c>
      <c r="V48" t="s">
        <v>229</v>
      </c>
    </row>
    <row r="49" spans="1:27" x14ac:dyDescent="0.2">
      <c r="A49" s="16" t="s">
        <v>353</v>
      </c>
      <c r="B49" s="15">
        <v>2019</v>
      </c>
      <c r="C49" s="15">
        <v>2020</v>
      </c>
      <c r="D49" s="15">
        <v>2021</v>
      </c>
      <c r="E49" s="15">
        <v>2022</v>
      </c>
      <c r="F49" s="15">
        <v>2023</v>
      </c>
      <c r="G49" s="15"/>
      <c r="H49" s="15"/>
      <c r="K49" t="s">
        <v>254</v>
      </c>
      <c r="L49">
        <v>450963000</v>
      </c>
      <c r="M49">
        <v>454089000</v>
      </c>
      <c r="N49">
        <v>465504000</v>
      </c>
      <c r="O49">
        <v>451426000</v>
      </c>
      <c r="P49">
        <v>440324000</v>
      </c>
      <c r="V49" t="s">
        <v>230</v>
      </c>
    </row>
    <row r="50" spans="1:27" x14ac:dyDescent="0.2">
      <c r="A50" t="s">
        <v>260</v>
      </c>
      <c r="B50">
        <v>5903000000</v>
      </c>
      <c r="C50">
        <v>2485000000</v>
      </c>
      <c r="D50">
        <v>6657000000</v>
      </c>
      <c r="E50">
        <v>5188000000</v>
      </c>
      <c r="F50">
        <v>5841000000</v>
      </c>
      <c r="K50" t="s">
        <v>255</v>
      </c>
      <c r="L50">
        <v>454274000</v>
      </c>
      <c r="M50">
        <v>454089000</v>
      </c>
      <c r="N50">
        <v>468644000</v>
      </c>
      <c r="O50">
        <v>461509000</v>
      </c>
      <c r="P50">
        <v>451011000</v>
      </c>
      <c r="V50" t="s">
        <v>232</v>
      </c>
      <c r="W50">
        <v>-246400000</v>
      </c>
      <c r="X50">
        <v>-275700000</v>
      </c>
      <c r="Y50">
        <v>-287300000</v>
      </c>
      <c r="Z50">
        <v>-332800000</v>
      </c>
      <c r="AA50">
        <v>-351700000</v>
      </c>
    </row>
    <row r="51" spans="1:27" x14ac:dyDescent="0.2">
      <c r="A51" t="s">
        <v>261</v>
      </c>
      <c r="B51">
        <v>5903000000</v>
      </c>
      <c r="C51">
        <v>2485000000</v>
      </c>
      <c r="D51">
        <v>6657000000</v>
      </c>
      <c r="E51">
        <v>5188000000</v>
      </c>
      <c r="F51">
        <v>5841000000</v>
      </c>
      <c r="K51" t="s">
        <v>257</v>
      </c>
      <c r="L51">
        <f>L11+(-L125)</f>
        <v>254801000</v>
      </c>
      <c r="M51">
        <f>M11+(-M125)</f>
        <v>16787000</v>
      </c>
      <c r="N51">
        <f>N11+(-N125)</f>
        <v>552034000</v>
      </c>
      <c r="O51">
        <f>O11+(-O125)</f>
        <v>303029000</v>
      </c>
      <c r="P51">
        <f>P11+(-P125)</f>
        <v>234179000</v>
      </c>
      <c r="V51" t="s">
        <v>233</v>
      </c>
      <c r="W51">
        <v>-246400000</v>
      </c>
      <c r="X51">
        <v>-275700000</v>
      </c>
      <c r="Y51">
        <v>-287300000</v>
      </c>
      <c r="Z51">
        <v>-332800000</v>
      </c>
      <c r="AA51">
        <v>-351700000</v>
      </c>
    </row>
    <row r="52" spans="1:27" x14ac:dyDescent="0.2">
      <c r="A52" t="s">
        <v>262</v>
      </c>
      <c r="B52">
        <v>5903000000</v>
      </c>
      <c r="C52">
        <v>2485000000</v>
      </c>
      <c r="D52">
        <v>6657000000</v>
      </c>
      <c r="E52">
        <v>5188000000</v>
      </c>
      <c r="F52">
        <v>5841000000</v>
      </c>
      <c r="V52" t="s">
        <v>236</v>
      </c>
    </row>
    <row r="53" spans="1:27" x14ac:dyDescent="0.2">
      <c r="A53" t="s">
        <v>263</v>
      </c>
      <c r="B53">
        <v>4029000000</v>
      </c>
      <c r="C53">
        <v>2539000000</v>
      </c>
      <c r="D53">
        <v>5727000000</v>
      </c>
      <c r="E53">
        <v>6046000000</v>
      </c>
      <c r="F53">
        <v>5070000000</v>
      </c>
      <c r="K53" s="16" t="s">
        <v>354</v>
      </c>
      <c r="L53" s="15">
        <v>2019</v>
      </c>
      <c r="M53" s="15">
        <v>2020</v>
      </c>
      <c r="N53" s="15">
        <v>2021</v>
      </c>
      <c r="O53" s="15">
        <v>2023</v>
      </c>
      <c r="P53" s="15">
        <v>2024</v>
      </c>
      <c r="Q53" s="15"/>
      <c r="V53" t="s">
        <v>237</v>
      </c>
      <c r="W53" t="s">
        <v>340</v>
      </c>
      <c r="X53">
        <v>-18000000</v>
      </c>
      <c r="Y53">
        <v>-18500000</v>
      </c>
      <c r="Z53">
        <v>-53800000</v>
      </c>
      <c r="AA53">
        <v>6200000</v>
      </c>
    </row>
    <row r="54" spans="1:27" x14ac:dyDescent="0.2">
      <c r="A54" t="s">
        <v>264</v>
      </c>
      <c r="B54">
        <v>1312000000</v>
      </c>
      <c r="C54">
        <v>1191000000</v>
      </c>
      <c r="D54">
        <v>885000000</v>
      </c>
      <c r="E54">
        <v>802000000</v>
      </c>
      <c r="F54">
        <v>1284000000</v>
      </c>
      <c r="K54" t="s">
        <v>260</v>
      </c>
      <c r="L54">
        <v>509031000</v>
      </c>
      <c r="M54">
        <v>212864000</v>
      </c>
      <c r="N54">
        <v>664829000</v>
      </c>
      <c r="O54">
        <v>-9914000</v>
      </c>
      <c r="P54">
        <v>353970000</v>
      </c>
      <c r="V54" t="s">
        <v>355</v>
      </c>
      <c r="Y54">
        <v>-18500000</v>
      </c>
      <c r="Z54">
        <v>-26000000</v>
      </c>
      <c r="AA54">
        <v>6200000</v>
      </c>
    </row>
    <row r="55" spans="1:27" x14ac:dyDescent="0.2">
      <c r="A55" t="s">
        <v>265</v>
      </c>
      <c r="B55">
        <v>720000000</v>
      </c>
      <c r="C55">
        <v>1119000000</v>
      </c>
      <c r="D55">
        <v>797000000</v>
      </c>
      <c r="E55">
        <v>840000000</v>
      </c>
      <c r="F55">
        <v>859000000</v>
      </c>
      <c r="K55" t="s">
        <v>261</v>
      </c>
      <c r="L55">
        <v>509031000</v>
      </c>
      <c r="M55">
        <v>212864000</v>
      </c>
      <c r="N55">
        <v>664829000</v>
      </c>
      <c r="O55">
        <v>-9914000</v>
      </c>
      <c r="P55">
        <v>353970000</v>
      </c>
      <c r="V55" t="s">
        <v>356</v>
      </c>
      <c r="Z55">
        <v>-27800000</v>
      </c>
    </row>
    <row r="56" spans="1:27" x14ac:dyDescent="0.2">
      <c r="A56" t="s">
        <v>266</v>
      </c>
      <c r="B56">
        <v>720000000</v>
      </c>
      <c r="C56">
        <v>1119000000</v>
      </c>
      <c r="D56">
        <v>797000000</v>
      </c>
      <c r="E56">
        <v>840000000</v>
      </c>
      <c r="F56">
        <v>859000000</v>
      </c>
      <c r="K56" t="s">
        <v>262</v>
      </c>
      <c r="L56">
        <v>509031000</v>
      </c>
      <c r="M56">
        <v>212864000</v>
      </c>
      <c r="N56">
        <v>664829000</v>
      </c>
      <c r="O56">
        <v>-9914000</v>
      </c>
      <c r="P56">
        <v>353970000</v>
      </c>
      <c r="V56" t="s">
        <v>238</v>
      </c>
      <c r="W56" t="s">
        <v>340</v>
      </c>
      <c r="X56">
        <v>-18000000</v>
      </c>
    </row>
    <row r="57" spans="1:27" x14ac:dyDescent="0.2">
      <c r="A57" t="s">
        <v>267</v>
      </c>
      <c r="B57">
        <v>705000000</v>
      </c>
      <c r="C57">
        <v>721000000</v>
      </c>
      <c r="D57">
        <v>744000000</v>
      </c>
      <c r="E57">
        <v>717000000</v>
      </c>
      <c r="F57">
        <v>703000000</v>
      </c>
      <c r="K57" t="s">
        <v>263</v>
      </c>
      <c r="L57">
        <v>92139000</v>
      </c>
      <c r="M57">
        <v>-549177000</v>
      </c>
      <c r="N57">
        <v>360060000</v>
      </c>
      <c r="O57">
        <v>386769000</v>
      </c>
      <c r="P57">
        <v>232042000</v>
      </c>
      <c r="V57" t="s">
        <v>239</v>
      </c>
    </row>
    <row r="58" spans="1:27" x14ac:dyDescent="0.2">
      <c r="A58" t="s">
        <v>357</v>
      </c>
      <c r="B58">
        <v>15000000</v>
      </c>
      <c r="C58">
        <v>398000000</v>
      </c>
      <c r="D58">
        <v>53000000</v>
      </c>
      <c r="E58">
        <v>123000000</v>
      </c>
      <c r="F58">
        <v>156000000</v>
      </c>
      <c r="K58" t="s">
        <v>264</v>
      </c>
      <c r="L58">
        <v>289900000</v>
      </c>
      <c r="M58">
        <v>559133000</v>
      </c>
      <c r="N58">
        <v>282230000</v>
      </c>
      <c r="O58">
        <v>32031000</v>
      </c>
      <c r="P58">
        <v>201423000</v>
      </c>
      <c r="V58" t="s">
        <v>358</v>
      </c>
      <c r="W58">
        <v>-800000</v>
      </c>
      <c r="Y58">
        <v>-900000</v>
      </c>
    </row>
    <row r="59" spans="1:27" x14ac:dyDescent="0.2">
      <c r="A59" t="s">
        <v>359</v>
      </c>
      <c r="B59">
        <v>325000000</v>
      </c>
      <c r="C59">
        <v>429000000</v>
      </c>
      <c r="D59">
        <v>611000000</v>
      </c>
      <c r="E59">
        <v>638000000</v>
      </c>
      <c r="F59">
        <v>755000000</v>
      </c>
      <c r="K59" t="s">
        <v>265</v>
      </c>
      <c r="L59">
        <v>186425000</v>
      </c>
      <c r="M59">
        <v>164984000</v>
      </c>
      <c r="N59">
        <v>141144000</v>
      </c>
      <c r="O59">
        <v>137620000</v>
      </c>
      <c r="P59">
        <v>142590000</v>
      </c>
      <c r="V59" t="s">
        <v>360</v>
      </c>
      <c r="W59">
        <v>-100000</v>
      </c>
      <c r="Y59">
        <v>-100000</v>
      </c>
    </row>
    <row r="60" spans="1:27" x14ac:dyDescent="0.2">
      <c r="A60" t="s">
        <v>361</v>
      </c>
      <c r="B60">
        <v>34000000</v>
      </c>
      <c r="C60">
        <v>-380000000</v>
      </c>
      <c r="D60">
        <v>-385000000</v>
      </c>
      <c r="E60">
        <v>-650000000</v>
      </c>
      <c r="F60">
        <v>-117000000</v>
      </c>
      <c r="K60" t="s">
        <v>266</v>
      </c>
      <c r="L60">
        <v>186425000</v>
      </c>
      <c r="M60">
        <v>164984000</v>
      </c>
      <c r="N60">
        <v>141144000</v>
      </c>
      <c r="O60">
        <v>137620000</v>
      </c>
      <c r="P60">
        <v>142590000</v>
      </c>
      <c r="V60" t="s">
        <v>242</v>
      </c>
      <c r="W60">
        <v>1.76</v>
      </c>
      <c r="X60">
        <v>0.53</v>
      </c>
      <c r="Y60">
        <v>2.0699999999999998</v>
      </c>
      <c r="Z60">
        <v>2.36</v>
      </c>
      <c r="AA60">
        <v>2.0299999999999998</v>
      </c>
    </row>
    <row r="61" spans="1:27" x14ac:dyDescent="0.2">
      <c r="A61" t="s">
        <v>269</v>
      </c>
      <c r="B61">
        <v>233000000</v>
      </c>
      <c r="C61">
        <v>23000000</v>
      </c>
      <c r="D61">
        <v>-138000000</v>
      </c>
      <c r="E61">
        <v>-26000000</v>
      </c>
      <c r="F61">
        <v>-213000000</v>
      </c>
      <c r="K61" t="s">
        <v>359</v>
      </c>
      <c r="L61">
        <v>49618000</v>
      </c>
      <c r="M61">
        <v>42070000</v>
      </c>
      <c r="N61">
        <v>43794000</v>
      </c>
      <c r="O61">
        <v>36811000</v>
      </c>
      <c r="P61">
        <v>42998000</v>
      </c>
      <c r="V61" t="s">
        <v>243</v>
      </c>
      <c r="W61">
        <v>1.76</v>
      </c>
      <c r="X61">
        <v>0.53</v>
      </c>
      <c r="Y61">
        <v>2.0699999999999998</v>
      </c>
      <c r="Z61">
        <v>2.36</v>
      </c>
      <c r="AA61">
        <v>2.0299999999999998</v>
      </c>
    </row>
    <row r="62" spans="1:27" x14ac:dyDescent="0.2">
      <c r="A62" t="s">
        <v>270</v>
      </c>
      <c r="B62">
        <v>233000000</v>
      </c>
      <c r="C62">
        <v>23000000</v>
      </c>
      <c r="D62">
        <v>-138000000</v>
      </c>
      <c r="E62">
        <v>-26000000</v>
      </c>
      <c r="F62">
        <v>-213000000</v>
      </c>
      <c r="K62" t="s">
        <v>361</v>
      </c>
      <c r="L62">
        <v>38132000</v>
      </c>
      <c r="M62">
        <v>43992000</v>
      </c>
      <c r="N62">
        <v>-2642000</v>
      </c>
      <c r="O62">
        <v>-152403000</v>
      </c>
      <c r="P62">
        <v>-23693000</v>
      </c>
      <c r="V62" t="s">
        <v>245</v>
      </c>
      <c r="W62">
        <v>1.76</v>
      </c>
      <c r="X62">
        <v>0.53</v>
      </c>
      <c r="Y62">
        <v>2.0699999999999998</v>
      </c>
      <c r="Z62">
        <v>2.36</v>
      </c>
      <c r="AA62">
        <v>2.0299999999999998</v>
      </c>
    </row>
    <row r="63" spans="1:27" x14ac:dyDescent="0.2">
      <c r="A63" t="s">
        <v>271</v>
      </c>
      <c r="K63" t="s">
        <v>268</v>
      </c>
      <c r="L63">
        <v>254000</v>
      </c>
      <c r="M63">
        <v>12070000</v>
      </c>
      <c r="N63">
        <v>16891000</v>
      </c>
      <c r="O63">
        <v>2192000</v>
      </c>
      <c r="P63">
        <v>2034000</v>
      </c>
      <c r="V63" t="s">
        <v>246</v>
      </c>
      <c r="W63">
        <v>1.76</v>
      </c>
      <c r="X63">
        <v>0.53</v>
      </c>
      <c r="Y63">
        <v>2.0699999999999998</v>
      </c>
      <c r="Z63">
        <v>2.36</v>
      </c>
      <c r="AA63">
        <v>2.0299999999999998</v>
      </c>
    </row>
    <row r="64" spans="1:27" x14ac:dyDescent="0.2">
      <c r="A64" t="s">
        <v>272</v>
      </c>
      <c r="K64" t="s">
        <v>362</v>
      </c>
      <c r="L64">
        <v>-26096000</v>
      </c>
      <c r="M64">
        <v>10347000</v>
      </c>
      <c r="N64">
        <v>-25766000</v>
      </c>
      <c r="O64">
        <v>11696000</v>
      </c>
      <c r="P64">
        <v>13612000</v>
      </c>
      <c r="V64" t="s">
        <v>248</v>
      </c>
      <c r="W64">
        <v>149521683</v>
      </c>
      <c r="X64">
        <v>149561440</v>
      </c>
      <c r="Y64">
        <v>149588684</v>
      </c>
      <c r="Z64">
        <v>149650000</v>
      </c>
      <c r="AA64">
        <v>149852251</v>
      </c>
    </row>
    <row r="65" spans="1:28" x14ac:dyDescent="0.2">
      <c r="A65" t="s">
        <v>363</v>
      </c>
      <c r="K65" t="s">
        <v>269</v>
      </c>
      <c r="L65">
        <v>-2073000</v>
      </c>
      <c r="M65">
        <v>-9295000</v>
      </c>
      <c r="N65">
        <v>18877000</v>
      </c>
      <c r="O65">
        <v>-8463000</v>
      </c>
      <c r="P65">
        <v>16080000</v>
      </c>
      <c r="V65" t="s">
        <v>249</v>
      </c>
      <c r="W65">
        <v>149521683</v>
      </c>
      <c r="X65">
        <v>149561440</v>
      </c>
      <c r="Y65">
        <v>149591763</v>
      </c>
      <c r="Z65">
        <v>149660000</v>
      </c>
      <c r="AA65">
        <v>149871901</v>
      </c>
    </row>
    <row r="66" spans="1:28" x14ac:dyDescent="0.2">
      <c r="A66" t="s">
        <v>277</v>
      </c>
      <c r="B66">
        <v>562000000</v>
      </c>
      <c r="C66">
        <v>-1245000000</v>
      </c>
      <c r="D66">
        <v>45000000</v>
      </c>
      <c r="E66">
        <v>-1660000000</v>
      </c>
      <c r="F66">
        <v>-513000000</v>
      </c>
      <c r="K66" t="s">
        <v>270</v>
      </c>
      <c r="L66">
        <v>-2073000</v>
      </c>
      <c r="M66">
        <v>-9295000</v>
      </c>
      <c r="N66">
        <v>18877000</v>
      </c>
      <c r="O66">
        <v>-8463000</v>
      </c>
      <c r="P66">
        <v>16080000</v>
      </c>
      <c r="V66" t="s">
        <v>250</v>
      </c>
      <c r="W66">
        <v>0.35</v>
      </c>
      <c r="Y66">
        <v>0.16</v>
      </c>
      <c r="Z66">
        <v>0.72</v>
      </c>
      <c r="AA66">
        <v>0.82</v>
      </c>
    </row>
    <row r="67" spans="1:28" x14ac:dyDescent="0.2">
      <c r="A67" t="s">
        <v>278</v>
      </c>
      <c r="B67">
        <v>-490000000</v>
      </c>
      <c r="C67">
        <v>-1854000000</v>
      </c>
      <c r="D67">
        <v>507000000</v>
      </c>
      <c r="E67">
        <v>-1676000000</v>
      </c>
      <c r="F67">
        <v>-133000000</v>
      </c>
      <c r="K67" t="s">
        <v>271</v>
      </c>
      <c r="L67">
        <v>43640000</v>
      </c>
      <c r="M67">
        <v>294965000</v>
      </c>
      <c r="N67">
        <v>89932000</v>
      </c>
      <c r="O67">
        <v>4578000</v>
      </c>
      <c r="P67">
        <v>7802000</v>
      </c>
      <c r="V67" t="s">
        <v>251</v>
      </c>
      <c r="W67">
        <v>0.35</v>
      </c>
      <c r="Y67">
        <v>0.16</v>
      </c>
      <c r="Z67">
        <v>0.72</v>
      </c>
      <c r="AA67">
        <v>0.82</v>
      </c>
    </row>
    <row r="68" spans="1:28" x14ac:dyDescent="0.2">
      <c r="A68" t="s">
        <v>279</v>
      </c>
      <c r="B68">
        <v>-270000000</v>
      </c>
      <c r="C68">
        <v>1239000000</v>
      </c>
      <c r="D68">
        <v>-1606000000</v>
      </c>
      <c r="E68">
        <v>-504000000</v>
      </c>
      <c r="F68">
        <v>489000000</v>
      </c>
      <c r="K68" t="s">
        <v>272</v>
      </c>
      <c r="L68">
        <v>4640000</v>
      </c>
      <c r="M68">
        <v>-175578000</v>
      </c>
      <c r="N68">
        <v>4468000</v>
      </c>
      <c r="O68">
        <v>2619000</v>
      </c>
      <c r="P68">
        <v>1623000</v>
      </c>
      <c r="V68" t="s">
        <v>364</v>
      </c>
    </row>
    <row r="69" spans="1:28" x14ac:dyDescent="0.2">
      <c r="A69" t="s">
        <v>365</v>
      </c>
      <c r="B69">
        <v>-270000000</v>
      </c>
      <c r="C69">
        <v>1239000000</v>
      </c>
      <c r="D69">
        <v>-1606000000</v>
      </c>
      <c r="E69">
        <v>-504000000</v>
      </c>
      <c r="F69">
        <v>489000000</v>
      </c>
      <c r="K69" t="s">
        <v>273</v>
      </c>
      <c r="L69">
        <v>4640000</v>
      </c>
      <c r="M69">
        <v>3740000</v>
      </c>
      <c r="N69">
        <v>4468000</v>
      </c>
      <c r="O69">
        <v>2619000</v>
      </c>
      <c r="P69">
        <v>1623000</v>
      </c>
      <c r="V69" t="s">
        <v>242</v>
      </c>
      <c r="W69">
        <v>1.76</v>
      </c>
      <c r="X69">
        <v>0.53</v>
      </c>
      <c r="Y69">
        <v>2.0699999999999998</v>
      </c>
      <c r="Z69">
        <v>2.36</v>
      </c>
      <c r="AA69">
        <v>2.0299999999999998</v>
      </c>
    </row>
    <row r="70" spans="1:28" x14ac:dyDescent="0.2">
      <c r="A70" t="s">
        <v>366</v>
      </c>
      <c r="B70">
        <v>-203000000</v>
      </c>
      <c r="C70">
        <v>-654000000</v>
      </c>
      <c r="D70">
        <v>-182000000</v>
      </c>
      <c r="E70">
        <v>-845000000</v>
      </c>
      <c r="F70">
        <v>-644000000</v>
      </c>
      <c r="K70" t="s">
        <v>363</v>
      </c>
      <c r="M70">
        <v>-179318000</v>
      </c>
      <c r="N70" t="s">
        <v>340</v>
      </c>
      <c r="O70" t="s">
        <v>340</v>
      </c>
      <c r="V70" t="s">
        <v>245</v>
      </c>
      <c r="W70">
        <v>1.76</v>
      </c>
      <c r="X70">
        <v>0.53</v>
      </c>
      <c r="Y70">
        <v>2.0699999999999998</v>
      </c>
      <c r="Z70">
        <v>2.36</v>
      </c>
      <c r="AA70">
        <v>2.0299999999999998</v>
      </c>
    </row>
    <row r="71" spans="1:28" x14ac:dyDescent="0.2">
      <c r="A71" t="s">
        <v>280</v>
      </c>
      <c r="B71">
        <v>1525000000</v>
      </c>
      <c r="C71">
        <v>24000000</v>
      </c>
      <c r="D71">
        <v>1326000000</v>
      </c>
      <c r="E71">
        <v>1365000000</v>
      </c>
      <c r="F71">
        <v>-225000000</v>
      </c>
      <c r="K71" t="s">
        <v>367</v>
      </c>
      <c r="N71">
        <v>58526000</v>
      </c>
      <c r="O71" t="s">
        <v>340</v>
      </c>
      <c r="P71" t="s">
        <v>340</v>
      </c>
      <c r="V71" t="s">
        <v>254</v>
      </c>
      <c r="W71">
        <v>149521683</v>
      </c>
      <c r="X71">
        <v>149561440</v>
      </c>
      <c r="Y71">
        <v>149588684</v>
      </c>
      <c r="Z71">
        <v>149650000</v>
      </c>
      <c r="AA71">
        <v>149852251</v>
      </c>
    </row>
    <row r="72" spans="1:28" x14ac:dyDescent="0.2">
      <c r="A72" t="s">
        <v>281</v>
      </c>
      <c r="C72">
        <v>24000000</v>
      </c>
      <c r="D72">
        <v>1326000000</v>
      </c>
      <c r="E72">
        <v>1365000000</v>
      </c>
      <c r="F72">
        <v>-225000000</v>
      </c>
      <c r="K72" t="s">
        <v>368</v>
      </c>
      <c r="N72">
        <v>26938000</v>
      </c>
      <c r="O72">
        <v>1959000</v>
      </c>
      <c r="P72">
        <v>6179000</v>
      </c>
      <c r="V72" t="s">
        <v>255</v>
      </c>
      <c r="W72">
        <v>149521683</v>
      </c>
      <c r="X72">
        <v>149561440</v>
      </c>
      <c r="Y72">
        <v>149591763</v>
      </c>
      <c r="Z72">
        <v>149660000</v>
      </c>
      <c r="AA72">
        <v>149871901</v>
      </c>
    </row>
    <row r="73" spans="1:28" x14ac:dyDescent="0.2">
      <c r="A73" t="s">
        <v>282</v>
      </c>
      <c r="C73">
        <v>24000000</v>
      </c>
      <c r="D73">
        <v>1326000000</v>
      </c>
      <c r="E73">
        <v>1365000000</v>
      </c>
      <c r="F73">
        <v>-225000000</v>
      </c>
      <c r="K73" t="s">
        <v>274</v>
      </c>
      <c r="L73">
        <v>39000000</v>
      </c>
      <c r="M73">
        <v>470543000</v>
      </c>
      <c r="V73" t="s">
        <v>257</v>
      </c>
      <c r="W73">
        <f>W17+(-W129)</f>
        <v>479700000</v>
      </c>
      <c r="X73">
        <f>X17+(-X129)</f>
        <v>251800000</v>
      </c>
      <c r="Y73">
        <f>Y17+(-Y129)</f>
        <v>599000000</v>
      </c>
      <c r="Z73">
        <f>Z17+(-Z129)</f>
        <v>694300000</v>
      </c>
      <c r="AA73">
        <f>AA17+(-AA129)</f>
        <v>715800000</v>
      </c>
    </row>
    <row r="74" spans="1:28" x14ac:dyDescent="0.2">
      <c r="A74" t="s">
        <v>286</v>
      </c>
      <c r="B74">
        <v>-264000000</v>
      </c>
      <c r="C74">
        <v>-1028000000</v>
      </c>
      <c r="D74">
        <v>-3800000000</v>
      </c>
      <c r="E74">
        <v>-1524000000</v>
      </c>
      <c r="F74">
        <v>564000000</v>
      </c>
      <c r="K74" t="s">
        <v>369</v>
      </c>
      <c r="L74" t="s">
        <v>340</v>
      </c>
    </row>
    <row r="75" spans="1:28" x14ac:dyDescent="0.2">
      <c r="A75" t="s">
        <v>287</v>
      </c>
      <c r="B75">
        <v>-264000000</v>
      </c>
      <c r="C75">
        <v>-1028000000</v>
      </c>
      <c r="D75">
        <v>-3800000000</v>
      </c>
      <c r="E75">
        <v>-1524000000</v>
      </c>
      <c r="F75">
        <v>564000000</v>
      </c>
      <c r="K75" t="s">
        <v>277</v>
      </c>
      <c r="L75">
        <v>126992000</v>
      </c>
      <c r="M75">
        <v>202908000</v>
      </c>
      <c r="N75">
        <v>22539000</v>
      </c>
      <c r="O75">
        <v>-428714000</v>
      </c>
      <c r="P75">
        <v>-79495000</v>
      </c>
      <c r="V75" s="16" t="s">
        <v>370</v>
      </c>
      <c r="W75" s="15">
        <v>2019</v>
      </c>
      <c r="X75" s="15">
        <v>2020</v>
      </c>
      <c r="Y75" s="15">
        <v>2021</v>
      </c>
      <c r="Z75" s="15">
        <v>2022</v>
      </c>
      <c r="AA75" s="15">
        <v>2023</v>
      </c>
      <c r="AB75" s="15"/>
    </row>
    <row r="76" spans="1:28" x14ac:dyDescent="0.2">
      <c r="A76" t="s">
        <v>288</v>
      </c>
      <c r="B76">
        <v>-1114000000</v>
      </c>
      <c r="C76">
        <v>-1086000000</v>
      </c>
      <c r="D76">
        <v>-695000000</v>
      </c>
      <c r="E76">
        <v>-758000000</v>
      </c>
      <c r="F76">
        <v>-969000000</v>
      </c>
      <c r="K76" t="s">
        <v>278</v>
      </c>
      <c r="L76">
        <v>149519000</v>
      </c>
      <c r="M76">
        <v>15306000</v>
      </c>
      <c r="N76">
        <v>93287000</v>
      </c>
      <c r="O76">
        <v>-373714000</v>
      </c>
      <c r="P76">
        <v>216484000</v>
      </c>
      <c r="V76" t="s">
        <v>260</v>
      </c>
      <c r="W76">
        <v>548800000</v>
      </c>
      <c r="X76">
        <v>421500000</v>
      </c>
      <c r="Y76">
        <v>460100000</v>
      </c>
      <c r="Z76">
        <v>418300000</v>
      </c>
      <c r="AA76">
        <v>653600000</v>
      </c>
    </row>
    <row r="77" spans="1:28" x14ac:dyDescent="0.2">
      <c r="A77" t="s">
        <v>289</v>
      </c>
      <c r="B77">
        <v>-1119000000</v>
      </c>
      <c r="C77">
        <v>-1086000000</v>
      </c>
      <c r="D77">
        <v>-695000000</v>
      </c>
      <c r="E77">
        <v>-758000000</v>
      </c>
      <c r="F77">
        <v>-969000000</v>
      </c>
      <c r="K77" t="s">
        <v>279</v>
      </c>
      <c r="L77">
        <v>-45450000</v>
      </c>
      <c r="M77">
        <v>167614000</v>
      </c>
      <c r="N77">
        <v>-31153000</v>
      </c>
      <c r="O77">
        <v>-62162000</v>
      </c>
      <c r="P77">
        <v>-3906000</v>
      </c>
      <c r="V77" t="s">
        <v>261</v>
      </c>
      <c r="W77">
        <v>548900000</v>
      </c>
      <c r="X77">
        <v>421500000</v>
      </c>
      <c r="Y77">
        <v>459900000</v>
      </c>
      <c r="Z77">
        <v>418300000</v>
      </c>
      <c r="AA77">
        <v>653500000</v>
      </c>
    </row>
    <row r="78" spans="1:28" x14ac:dyDescent="0.2">
      <c r="A78" t="s">
        <v>290</v>
      </c>
      <c r="B78">
        <v>5000000</v>
      </c>
      <c r="K78" t="s">
        <v>365</v>
      </c>
      <c r="L78">
        <v>-45450000</v>
      </c>
      <c r="M78">
        <v>167614000</v>
      </c>
      <c r="N78">
        <v>-31153000</v>
      </c>
      <c r="O78">
        <v>-62162000</v>
      </c>
      <c r="P78">
        <v>-3906000</v>
      </c>
      <c r="V78" t="s">
        <v>262</v>
      </c>
      <c r="W78">
        <v>660400000</v>
      </c>
      <c r="X78">
        <v>510800000</v>
      </c>
      <c r="Y78">
        <v>606800000</v>
      </c>
      <c r="Z78">
        <v>575700000</v>
      </c>
      <c r="AA78">
        <v>834800000</v>
      </c>
    </row>
    <row r="79" spans="1:28" x14ac:dyDescent="0.2">
      <c r="A79" t="s">
        <v>297</v>
      </c>
      <c r="B79">
        <v>850000000</v>
      </c>
      <c r="C79">
        <v>27000000</v>
      </c>
      <c r="D79">
        <v>-3276000000</v>
      </c>
      <c r="E79">
        <v>-747000000</v>
      </c>
      <c r="F79">
        <v>1481000000</v>
      </c>
      <c r="K79" t="s">
        <v>366</v>
      </c>
      <c r="L79">
        <v>24334000</v>
      </c>
      <c r="M79">
        <v>18603000</v>
      </c>
      <c r="N79">
        <v>10224000</v>
      </c>
      <c r="O79">
        <v>-36652000</v>
      </c>
      <c r="P79">
        <v>-29060000</v>
      </c>
      <c r="V79" t="s">
        <v>263</v>
      </c>
      <c r="W79">
        <v>417600000</v>
      </c>
      <c r="X79">
        <v>162300000</v>
      </c>
      <c r="Y79">
        <v>505300000</v>
      </c>
      <c r="Z79">
        <v>551700000</v>
      </c>
      <c r="AA79">
        <v>478300000</v>
      </c>
    </row>
    <row r="80" spans="1:28" x14ac:dyDescent="0.2">
      <c r="A80" t="s">
        <v>298</v>
      </c>
      <c r="B80">
        <v>-2937000000</v>
      </c>
      <c r="C80">
        <v>-2426000000</v>
      </c>
      <c r="D80">
        <v>-9961000000</v>
      </c>
      <c r="E80">
        <v>-12913000000</v>
      </c>
      <c r="F80">
        <v>-6059000000</v>
      </c>
      <c r="K80" t="s">
        <v>371</v>
      </c>
      <c r="L80">
        <v>19966000</v>
      </c>
      <c r="M80">
        <v>-259735000</v>
      </c>
      <c r="N80">
        <v>79782000</v>
      </c>
      <c r="O80">
        <v>-52795000</v>
      </c>
      <c r="P80">
        <v>34920000</v>
      </c>
      <c r="V80" t="s">
        <v>264</v>
      </c>
      <c r="W80">
        <v>287300000</v>
      </c>
      <c r="X80">
        <v>360500000</v>
      </c>
      <c r="Y80">
        <v>315800000</v>
      </c>
      <c r="Z80">
        <v>367300000</v>
      </c>
      <c r="AA80">
        <v>485700000</v>
      </c>
    </row>
    <row r="81" spans="1:27" x14ac:dyDescent="0.2">
      <c r="A81" t="s">
        <v>299</v>
      </c>
      <c r="B81">
        <v>3787000000</v>
      </c>
      <c r="C81">
        <v>2453000000</v>
      </c>
      <c r="D81">
        <v>6685000000</v>
      </c>
      <c r="E81">
        <v>12166000000</v>
      </c>
      <c r="F81">
        <v>7540000000</v>
      </c>
      <c r="K81" t="s">
        <v>280</v>
      </c>
      <c r="L81">
        <v>40471000</v>
      </c>
      <c r="M81">
        <v>277859000</v>
      </c>
      <c r="N81">
        <v>-88767000</v>
      </c>
      <c r="O81">
        <v>89639000</v>
      </c>
      <c r="P81">
        <v>-216154000</v>
      </c>
      <c r="V81" t="s">
        <v>265</v>
      </c>
      <c r="W81">
        <v>246400000</v>
      </c>
      <c r="X81">
        <v>293800000</v>
      </c>
      <c r="Y81">
        <v>305800000</v>
      </c>
      <c r="Z81">
        <v>358700000</v>
      </c>
      <c r="AA81">
        <v>357500000</v>
      </c>
    </row>
    <row r="82" spans="1:27" x14ac:dyDescent="0.2">
      <c r="A82" t="s">
        <v>372</v>
      </c>
      <c r="B82" t="s">
        <v>340</v>
      </c>
      <c r="C82">
        <v>31000000</v>
      </c>
      <c r="D82">
        <v>171000000</v>
      </c>
      <c r="E82">
        <v>-19000000</v>
      </c>
      <c r="F82">
        <v>52000000</v>
      </c>
      <c r="K82" t="s">
        <v>281</v>
      </c>
      <c r="L82">
        <v>59458000</v>
      </c>
      <c r="M82">
        <v>-40673000</v>
      </c>
      <c r="N82">
        <v>26027000</v>
      </c>
      <c r="O82">
        <v>77558000</v>
      </c>
      <c r="P82">
        <v>-197887000</v>
      </c>
      <c r="V82" t="s">
        <v>266</v>
      </c>
      <c r="W82">
        <v>246400000</v>
      </c>
      <c r="X82">
        <v>293800000</v>
      </c>
      <c r="Y82">
        <v>305800000</v>
      </c>
      <c r="Z82">
        <v>358700000</v>
      </c>
      <c r="AA82">
        <v>357500000</v>
      </c>
    </row>
    <row r="83" spans="1:27" x14ac:dyDescent="0.2">
      <c r="A83" t="s">
        <v>301</v>
      </c>
      <c r="K83" t="s">
        <v>282</v>
      </c>
      <c r="L83">
        <v>59458000</v>
      </c>
      <c r="M83">
        <v>-40673000</v>
      </c>
      <c r="N83">
        <v>26027000</v>
      </c>
      <c r="O83">
        <v>77558000</v>
      </c>
      <c r="P83">
        <v>-197887000</v>
      </c>
      <c r="V83" t="s">
        <v>267</v>
      </c>
      <c r="W83">
        <v>246400000</v>
      </c>
      <c r="X83">
        <v>293800000</v>
      </c>
      <c r="Y83">
        <v>305800000</v>
      </c>
      <c r="Z83">
        <v>358700000</v>
      </c>
      <c r="AA83">
        <v>357500000</v>
      </c>
    </row>
    <row r="84" spans="1:27" x14ac:dyDescent="0.2">
      <c r="A84" t="s">
        <v>294</v>
      </c>
      <c r="K84" t="s">
        <v>373</v>
      </c>
      <c r="L84">
        <v>-18987000</v>
      </c>
      <c r="M84">
        <v>318532000</v>
      </c>
      <c r="N84">
        <v>-114794000</v>
      </c>
      <c r="O84">
        <v>12081000</v>
      </c>
      <c r="P84">
        <v>-18267000</v>
      </c>
      <c r="V84" t="s">
        <v>276</v>
      </c>
      <c r="W84">
        <v>-1200000</v>
      </c>
      <c r="X84">
        <v>-1000000</v>
      </c>
      <c r="Y84">
        <v>-3700000</v>
      </c>
      <c r="Z84">
        <v>500000</v>
      </c>
      <c r="AA84">
        <v>-1500000</v>
      </c>
    </row>
    <row r="85" spans="1:27" x14ac:dyDescent="0.2">
      <c r="A85" t="s">
        <v>296</v>
      </c>
      <c r="K85" t="s">
        <v>374</v>
      </c>
      <c r="L85">
        <v>-80710000</v>
      </c>
      <c r="M85">
        <v>-19250000</v>
      </c>
      <c r="N85">
        <v>-38861000</v>
      </c>
      <c r="O85">
        <v>851000</v>
      </c>
      <c r="P85">
        <v>-21427000</v>
      </c>
      <c r="V85" t="s">
        <v>268</v>
      </c>
      <c r="W85">
        <v>33100000</v>
      </c>
      <c r="X85">
        <v>43000000</v>
      </c>
      <c r="Y85">
        <v>42700000</v>
      </c>
      <c r="Z85">
        <v>22100000</v>
      </c>
      <c r="AA85">
        <v>62900000</v>
      </c>
    </row>
    <row r="86" spans="1:27" x14ac:dyDescent="0.2">
      <c r="A86" t="s">
        <v>304</v>
      </c>
      <c r="B86">
        <v>-5293000000</v>
      </c>
      <c r="C86">
        <v>2491000000</v>
      </c>
      <c r="D86">
        <v>-1459000000</v>
      </c>
      <c r="E86">
        <v>-4836000000</v>
      </c>
      <c r="F86">
        <v>-7447000000</v>
      </c>
      <c r="K86" t="s">
        <v>375</v>
      </c>
      <c r="L86">
        <v>18862000</v>
      </c>
      <c r="M86">
        <v>2511000</v>
      </c>
      <c r="N86">
        <v>-1973000</v>
      </c>
      <c r="O86">
        <v>6119000</v>
      </c>
      <c r="P86">
        <v>-60352000</v>
      </c>
      <c r="V86" t="s">
        <v>269</v>
      </c>
      <c r="W86">
        <v>1900000</v>
      </c>
      <c r="X86">
        <v>26300000</v>
      </c>
      <c r="Y86">
        <v>-29600000</v>
      </c>
      <c r="Z86">
        <v>-43600000</v>
      </c>
      <c r="AA86">
        <v>60100000</v>
      </c>
    </row>
    <row r="87" spans="1:27" x14ac:dyDescent="0.2">
      <c r="A87" t="s">
        <v>305</v>
      </c>
      <c r="B87">
        <v>-5293000000</v>
      </c>
      <c r="C87">
        <v>2491000000</v>
      </c>
      <c r="D87">
        <v>-1459000000</v>
      </c>
      <c r="E87">
        <v>-4836000000</v>
      </c>
      <c r="F87">
        <v>-7447000000</v>
      </c>
      <c r="K87" t="s">
        <v>286</v>
      </c>
      <c r="L87">
        <v>-147113000</v>
      </c>
      <c r="M87">
        <v>66345000</v>
      </c>
      <c r="N87">
        <v>-68346000</v>
      </c>
      <c r="O87">
        <v>-152796000</v>
      </c>
      <c r="P87">
        <v>-105333000</v>
      </c>
      <c r="V87" t="s">
        <v>270</v>
      </c>
      <c r="W87">
        <v>1900000</v>
      </c>
      <c r="X87">
        <v>26300000</v>
      </c>
      <c r="Y87">
        <v>-29600000</v>
      </c>
      <c r="Z87">
        <v>-43600000</v>
      </c>
      <c r="AA87">
        <v>60100000</v>
      </c>
    </row>
    <row r="88" spans="1:27" x14ac:dyDescent="0.2">
      <c r="A88" t="s">
        <v>306</v>
      </c>
      <c r="B88">
        <v>-4286000000</v>
      </c>
      <c r="C88">
        <v>-3067000000</v>
      </c>
      <c r="D88">
        <v>-608000000</v>
      </c>
      <c r="E88">
        <v>-4014000000</v>
      </c>
      <c r="F88">
        <v>-5480000000</v>
      </c>
      <c r="K88" t="s">
        <v>287</v>
      </c>
      <c r="L88">
        <v>-147113000</v>
      </c>
      <c r="M88">
        <v>66345000</v>
      </c>
      <c r="N88">
        <v>-68346000</v>
      </c>
      <c r="O88">
        <v>-152796000</v>
      </c>
      <c r="P88">
        <v>-105333000</v>
      </c>
      <c r="V88" t="s">
        <v>376</v>
      </c>
      <c r="W88" t="s">
        <v>340</v>
      </c>
    </row>
    <row r="89" spans="1:27" x14ac:dyDescent="0.2">
      <c r="A89" t="s">
        <v>308</v>
      </c>
      <c r="B89">
        <v>-4286000000</v>
      </c>
      <c r="C89">
        <v>-3067000000</v>
      </c>
      <c r="D89">
        <v>-608000000</v>
      </c>
      <c r="E89">
        <v>-4014000000</v>
      </c>
      <c r="F89">
        <v>-5480000000</v>
      </c>
      <c r="K89" t="s">
        <v>288</v>
      </c>
      <c r="L89">
        <v>-145802000</v>
      </c>
      <c r="M89">
        <v>-92291000</v>
      </c>
      <c r="N89">
        <v>-68346000</v>
      </c>
      <c r="O89">
        <v>-187796000</v>
      </c>
      <c r="P89">
        <v>-150333000</v>
      </c>
      <c r="V89" t="s">
        <v>271</v>
      </c>
      <c r="W89">
        <v>2100000</v>
      </c>
      <c r="X89">
        <v>2400000</v>
      </c>
      <c r="Y89">
        <v>5100000</v>
      </c>
      <c r="Z89">
        <v>1000000</v>
      </c>
      <c r="AA89">
        <v>-15800000</v>
      </c>
    </row>
    <row r="90" spans="1:27" x14ac:dyDescent="0.2">
      <c r="A90" t="s">
        <v>309</v>
      </c>
      <c r="B90">
        <v>-331000000</v>
      </c>
      <c r="C90">
        <v>6183000000</v>
      </c>
      <c r="D90">
        <v>-249000000</v>
      </c>
      <c r="E90">
        <v>15000000</v>
      </c>
      <c r="F90">
        <v>-504000000</v>
      </c>
      <c r="K90" t="s">
        <v>289</v>
      </c>
      <c r="L90">
        <v>-145802000</v>
      </c>
      <c r="M90">
        <v>-92291000</v>
      </c>
      <c r="N90">
        <v>-69759000</v>
      </c>
      <c r="O90">
        <v>-187796000</v>
      </c>
      <c r="P90">
        <v>-150333000</v>
      </c>
      <c r="V90" t="s">
        <v>272</v>
      </c>
      <c r="W90">
        <v>2100000</v>
      </c>
      <c r="X90">
        <v>2400000</v>
      </c>
      <c r="Y90">
        <v>5100000</v>
      </c>
      <c r="Z90">
        <v>1000000</v>
      </c>
      <c r="AA90">
        <v>-3900000</v>
      </c>
    </row>
    <row r="91" spans="1:27" x14ac:dyDescent="0.2">
      <c r="A91" t="s">
        <v>310</v>
      </c>
      <c r="B91">
        <v>-325000000</v>
      </c>
      <c r="C91">
        <v>49000000</v>
      </c>
      <c r="D91">
        <v>-52000000</v>
      </c>
      <c r="E91">
        <v>15000000</v>
      </c>
      <c r="F91">
        <v>-4000000</v>
      </c>
      <c r="K91" t="s">
        <v>290</v>
      </c>
      <c r="L91" t="s">
        <v>340</v>
      </c>
      <c r="M91" t="s">
        <v>340</v>
      </c>
      <c r="N91">
        <v>1413000</v>
      </c>
      <c r="O91" t="s">
        <v>340</v>
      </c>
      <c r="P91" t="s">
        <v>340</v>
      </c>
      <c r="V91" t="s">
        <v>273</v>
      </c>
      <c r="W91">
        <v>2100000</v>
      </c>
      <c r="X91">
        <v>2400000</v>
      </c>
      <c r="Y91">
        <v>5100000</v>
      </c>
      <c r="Z91">
        <v>1000000</v>
      </c>
      <c r="AA91">
        <v>-3900000</v>
      </c>
    </row>
    <row r="92" spans="1:27" x14ac:dyDescent="0.2">
      <c r="A92" t="s">
        <v>313</v>
      </c>
      <c r="B92">
        <v>-6000000</v>
      </c>
      <c r="C92">
        <v>6134000000</v>
      </c>
      <c r="D92">
        <v>-197000000</v>
      </c>
      <c r="E92" t="s">
        <v>340</v>
      </c>
      <c r="F92">
        <v>-500000000</v>
      </c>
      <c r="K92" t="s">
        <v>294</v>
      </c>
      <c r="M92">
        <v>158636000</v>
      </c>
      <c r="N92" t="s">
        <v>340</v>
      </c>
      <c r="O92">
        <v>35000000</v>
      </c>
      <c r="P92">
        <v>45000000</v>
      </c>
      <c r="V92" t="s">
        <v>377</v>
      </c>
      <c r="AA92">
        <v>-11900000</v>
      </c>
    </row>
    <row r="93" spans="1:27" x14ac:dyDescent="0.2">
      <c r="A93" t="s">
        <v>315</v>
      </c>
      <c r="B93">
        <v>-6000000</v>
      </c>
      <c r="D93">
        <v>-197000000</v>
      </c>
      <c r="E93" t="s">
        <v>340</v>
      </c>
      <c r="F93">
        <v>-500000000</v>
      </c>
      <c r="K93" t="s">
        <v>296</v>
      </c>
      <c r="M93">
        <v>198916000</v>
      </c>
      <c r="N93" t="s">
        <v>340</v>
      </c>
      <c r="O93">
        <v>35000000</v>
      </c>
      <c r="P93">
        <v>45000000</v>
      </c>
      <c r="V93" t="s">
        <v>275</v>
      </c>
      <c r="W93">
        <v>5000000</v>
      </c>
      <c r="X93">
        <v>-4000000</v>
      </c>
      <c r="Y93">
        <v>-4500000</v>
      </c>
      <c r="Z93">
        <v>28600000</v>
      </c>
      <c r="AA93">
        <v>22500000</v>
      </c>
    </row>
    <row r="94" spans="1:27" x14ac:dyDescent="0.2">
      <c r="A94" t="s">
        <v>314</v>
      </c>
      <c r="B94" t="s">
        <v>340</v>
      </c>
      <c r="C94">
        <v>6134000000</v>
      </c>
      <c r="D94" t="s">
        <v>340</v>
      </c>
      <c r="E94" t="s">
        <v>340</v>
      </c>
      <c r="K94" t="s">
        <v>295</v>
      </c>
      <c r="M94">
        <v>-40280000</v>
      </c>
      <c r="N94" t="s">
        <v>340</v>
      </c>
      <c r="O94" t="s">
        <v>340</v>
      </c>
      <c r="V94" t="s">
        <v>277</v>
      </c>
      <c r="W94">
        <v>-44500000</v>
      </c>
      <c r="X94">
        <v>-12000000</v>
      </c>
      <c r="Y94">
        <v>-214300000</v>
      </c>
      <c r="Z94">
        <v>-343300000</v>
      </c>
      <c r="AA94">
        <v>-129200000</v>
      </c>
    </row>
    <row r="95" spans="1:27" x14ac:dyDescent="0.2">
      <c r="A95" t="s">
        <v>319</v>
      </c>
      <c r="B95">
        <v>-1332000000</v>
      </c>
      <c r="C95">
        <v>-1452000000</v>
      </c>
      <c r="D95">
        <v>-1638000000</v>
      </c>
      <c r="E95">
        <v>-1837000000</v>
      </c>
      <c r="F95">
        <v>-2012000000</v>
      </c>
      <c r="K95" t="s">
        <v>301</v>
      </c>
      <c r="L95">
        <v>-1311000</v>
      </c>
      <c r="M95" t="s">
        <v>340</v>
      </c>
      <c r="N95" t="s">
        <v>340</v>
      </c>
      <c r="V95" t="s">
        <v>278</v>
      </c>
      <c r="W95">
        <v>-188800000</v>
      </c>
      <c r="X95">
        <v>-109700000</v>
      </c>
      <c r="Y95">
        <v>-304300000</v>
      </c>
      <c r="Z95">
        <v>-747000000</v>
      </c>
      <c r="AA95">
        <v>352100000</v>
      </c>
    </row>
    <row r="96" spans="1:27" x14ac:dyDescent="0.2">
      <c r="A96" t="s">
        <v>320</v>
      </c>
      <c r="B96">
        <v>-1332000000</v>
      </c>
      <c r="C96">
        <v>-1452000000</v>
      </c>
      <c r="D96">
        <v>-1638000000</v>
      </c>
      <c r="E96">
        <v>-1837000000</v>
      </c>
      <c r="F96">
        <v>-2012000000</v>
      </c>
      <c r="K96" t="s">
        <v>378</v>
      </c>
      <c r="L96">
        <v>-1311000</v>
      </c>
      <c r="M96" t="s">
        <v>340</v>
      </c>
      <c r="N96" t="s">
        <v>340</v>
      </c>
      <c r="V96" t="s">
        <v>279</v>
      </c>
      <c r="W96">
        <v>-69800000</v>
      </c>
      <c r="X96">
        <v>-50000000</v>
      </c>
      <c r="Y96">
        <v>-283200000</v>
      </c>
      <c r="Z96">
        <v>-209400000</v>
      </c>
      <c r="AA96">
        <v>-153400000</v>
      </c>
    </row>
    <row r="97" spans="1:27" x14ac:dyDescent="0.2">
      <c r="A97" t="s">
        <v>321</v>
      </c>
      <c r="B97">
        <v>-1332000000</v>
      </c>
      <c r="C97">
        <v>-1452000000</v>
      </c>
      <c r="D97">
        <v>-1638000000</v>
      </c>
      <c r="K97" t="s">
        <v>379</v>
      </c>
      <c r="L97" t="s">
        <v>340</v>
      </c>
      <c r="M97" t="s">
        <v>340</v>
      </c>
      <c r="V97" t="s">
        <v>380</v>
      </c>
      <c r="AA97">
        <v>-153400000</v>
      </c>
    </row>
    <row r="98" spans="1:27" x14ac:dyDescent="0.2">
      <c r="A98" t="s">
        <v>381</v>
      </c>
      <c r="B98">
        <v>700000000</v>
      </c>
      <c r="C98">
        <v>885000000</v>
      </c>
      <c r="D98">
        <v>1172000000</v>
      </c>
      <c r="E98">
        <v>1151000000</v>
      </c>
      <c r="F98">
        <v>651000000</v>
      </c>
      <c r="K98" t="s">
        <v>382</v>
      </c>
      <c r="L98" t="s">
        <v>340</v>
      </c>
      <c r="M98" t="s">
        <v>340</v>
      </c>
      <c r="V98" t="s">
        <v>280</v>
      </c>
      <c r="W98">
        <v>214100000</v>
      </c>
      <c r="X98">
        <v>147700000</v>
      </c>
      <c r="Y98">
        <v>373200000</v>
      </c>
      <c r="Z98">
        <v>613100000</v>
      </c>
      <c r="AA98">
        <v>-327900000</v>
      </c>
    </row>
    <row r="99" spans="1:27" x14ac:dyDescent="0.2">
      <c r="A99" t="s">
        <v>324</v>
      </c>
      <c r="B99">
        <v>-17000000</v>
      </c>
      <c r="C99">
        <v>-58000000</v>
      </c>
      <c r="D99">
        <v>-136000000</v>
      </c>
      <c r="E99">
        <v>-151000000</v>
      </c>
      <c r="F99">
        <v>-102000000</v>
      </c>
      <c r="K99" t="s">
        <v>297</v>
      </c>
      <c r="V99" t="s">
        <v>281</v>
      </c>
      <c r="W99">
        <v>214100000</v>
      </c>
      <c r="X99">
        <v>147700000</v>
      </c>
      <c r="Y99">
        <v>373200000</v>
      </c>
      <c r="Z99">
        <v>613100000</v>
      </c>
      <c r="AA99">
        <v>-327900000</v>
      </c>
    </row>
    <row r="100" spans="1:27" x14ac:dyDescent="0.2">
      <c r="A100" t="s">
        <v>316</v>
      </c>
      <c r="B100">
        <v>-27000000</v>
      </c>
      <c r="K100" t="s">
        <v>298</v>
      </c>
      <c r="V100" t="s">
        <v>282</v>
      </c>
      <c r="W100">
        <v>214100000</v>
      </c>
      <c r="X100">
        <v>147700000</v>
      </c>
      <c r="Y100">
        <v>373200000</v>
      </c>
      <c r="Z100">
        <v>613100000</v>
      </c>
      <c r="AA100">
        <v>-327900000</v>
      </c>
    </row>
    <row r="101" spans="1:27" x14ac:dyDescent="0.2">
      <c r="A101" t="s">
        <v>317</v>
      </c>
      <c r="B101">
        <v>-27000000</v>
      </c>
      <c r="K101" t="s">
        <v>299</v>
      </c>
      <c r="V101" t="s">
        <v>283</v>
      </c>
      <c r="W101">
        <v>-111800000</v>
      </c>
      <c r="X101">
        <v>-89300000</v>
      </c>
      <c r="Y101">
        <v>-146900000</v>
      </c>
      <c r="Z101">
        <v>-157400000</v>
      </c>
      <c r="AA101">
        <v>-181300000</v>
      </c>
    </row>
    <row r="102" spans="1:27" x14ac:dyDescent="0.2">
      <c r="A102" t="s">
        <v>383</v>
      </c>
      <c r="K102" t="s">
        <v>304</v>
      </c>
      <c r="L102">
        <v>-137070000</v>
      </c>
      <c r="M102">
        <v>436853000</v>
      </c>
      <c r="N102">
        <v>-418737000</v>
      </c>
      <c r="O102">
        <v>-126375000</v>
      </c>
      <c r="P102">
        <v>-78690000</v>
      </c>
      <c r="V102" t="s">
        <v>384</v>
      </c>
      <c r="W102">
        <v>300000</v>
      </c>
      <c r="X102" t="s">
        <v>340</v>
      </c>
    </row>
    <row r="103" spans="1:27" x14ac:dyDescent="0.2">
      <c r="A103" t="s">
        <v>326</v>
      </c>
      <c r="B103">
        <v>4466000000</v>
      </c>
      <c r="C103">
        <v>8348000000</v>
      </c>
      <c r="D103">
        <v>9889000000</v>
      </c>
      <c r="E103">
        <v>8574000000</v>
      </c>
      <c r="F103">
        <v>7441000000</v>
      </c>
      <c r="K103" t="s">
        <v>305</v>
      </c>
      <c r="L103">
        <v>-137070000</v>
      </c>
      <c r="M103">
        <v>436853000</v>
      </c>
      <c r="N103">
        <v>-418737000</v>
      </c>
      <c r="O103">
        <v>-126375000</v>
      </c>
      <c r="P103">
        <v>-78690000</v>
      </c>
      <c r="V103" t="s">
        <v>284</v>
      </c>
    </row>
    <row r="104" spans="1:27" x14ac:dyDescent="0.2">
      <c r="A104" t="s">
        <v>327</v>
      </c>
      <c r="B104">
        <v>346000000</v>
      </c>
      <c r="C104">
        <v>3948000000</v>
      </c>
      <c r="D104">
        <v>1398000000</v>
      </c>
      <c r="E104">
        <v>-1172000000</v>
      </c>
      <c r="F104">
        <v>-1042000000</v>
      </c>
      <c r="K104" t="s">
        <v>306</v>
      </c>
      <c r="O104">
        <v>-125000000</v>
      </c>
      <c r="P104">
        <v>-75000000</v>
      </c>
      <c r="V104" t="s">
        <v>286</v>
      </c>
      <c r="W104">
        <v>-218700000</v>
      </c>
      <c r="X104">
        <v>-145500000</v>
      </c>
      <c r="Y104">
        <v>-183800000</v>
      </c>
      <c r="Z104">
        <v>-240800000</v>
      </c>
      <c r="AA104">
        <v>-284600000</v>
      </c>
    </row>
    <row r="105" spans="1:27" x14ac:dyDescent="0.2">
      <c r="A105" t="s">
        <v>328</v>
      </c>
      <c r="B105">
        <v>-129000000</v>
      </c>
      <c r="C105">
        <v>-66000000</v>
      </c>
      <c r="D105">
        <v>143000000</v>
      </c>
      <c r="E105">
        <v>-143000000</v>
      </c>
      <c r="F105">
        <v>-91000000</v>
      </c>
      <c r="K105" t="s">
        <v>308</v>
      </c>
      <c r="O105">
        <v>-125000000</v>
      </c>
      <c r="P105">
        <v>-75000000</v>
      </c>
      <c r="V105" t="s">
        <v>287</v>
      </c>
      <c r="W105">
        <v>-218800000</v>
      </c>
      <c r="X105">
        <v>-145500000</v>
      </c>
      <c r="Y105">
        <v>-183800000</v>
      </c>
      <c r="Z105">
        <v>-240800000</v>
      </c>
      <c r="AA105">
        <v>-284600000</v>
      </c>
    </row>
    <row r="106" spans="1:27" x14ac:dyDescent="0.2">
      <c r="A106" t="s">
        <v>330</v>
      </c>
      <c r="B106">
        <v>4249000000</v>
      </c>
      <c r="C106">
        <v>4466000000</v>
      </c>
      <c r="D106">
        <v>8348000000</v>
      </c>
      <c r="E106">
        <v>9889000000</v>
      </c>
      <c r="F106">
        <v>8574000000</v>
      </c>
      <c r="K106" t="s">
        <v>309</v>
      </c>
      <c r="L106">
        <v>-137817000</v>
      </c>
      <c r="M106">
        <v>488753000</v>
      </c>
      <c r="N106">
        <v>-506280000</v>
      </c>
      <c r="O106" t="s">
        <v>340</v>
      </c>
      <c r="P106" t="s">
        <v>340</v>
      </c>
      <c r="V106" t="s">
        <v>288</v>
      </c>
      <c r="W106">
        <v>-216100000</v>
      </c>
      <c r="X106">
        <v>-149400000</v>
      </c>
      <c r="Y106">
        <v>-184100000</v>
      </c>
      <c r="Z106">
        <v>-262300000</v>
      </c>
      <c r="AA106">
        <v>-286100000</v>
      </c>
    </row>
    <row r="107" spans="1:27" x14ac:dyDescent="0.2">
      <c r="A107" t="s">
        <v>331</v>
      </c>
      <c r="K107" t="s">
        <v>313</v>
      </c>
      <c r="L107">
        <v>-137817000</v>
      </c>
      <c r="M107">
        <v>488753000</v>
      </c>
      <c r="N107">
        <v>-506280000</v>
      </c>
      <c r="O107" t="s">
        <v>340</v>
      </c>
      <c r="P107" t="s">
        <v>340</v>
      </c>
      <c r="V107" t="s">
        <v>289</v>
      </c>
      <c r="W107">
        <v>-218400000</v>
      </c>
      <c r="X107">
        <v>-151000000</v>
      </c>
      <c r="Y107">
        <v>-202400000</v>
      </c>
      <c r="Z107">
        <v>-263600000</v>
      </c>
      <c r="AA107">
        <v>-300400000</v>
      </c>
    </row>
    <row r="108" spans="1:27" x14ac:dyDescent="0.2">
      <c r="A108" t="s">
        <v>332</v>
      </c>
      <c r="B108">
        <v>217000000</v>
      </c>
      <c r="C108">
        <v>3882000000</v>
      </c>
      <c r="D108">
        <v>1541000000</v>
      </c>
      <c r="E108">
        <v>-1315000000</v>
      </c>
      <c r="F108">
        <v>-1133000000</v>
      </c>
      <c r="K108" t="s">
        <v>315</v>
      </c>
      <c r="L108">
        <v>-162817000</v>
      </c>
      <c r="M108">
        <v>-800000000</v>
      </c>
      <c r="N108">
        <v>-506280000</v>
      </c>
      <c r="O108" t="s">
        <v>340</v>
      </c>
      <c r="P108" t="s">
        <v>340</v>
      </c>
      <c r="V108" t="s">
        <v>290</v>
      </c>
      <c r="W108">
        <v>2300000</v>
      </c>
      <c r="X108">
        <v>1600000</v>
      </c>
      <c r="Y108">
        <v>18300000</v>
      </c>
      <c r="Z108">
        <v>1300000</v>
      </c>
      <c r="AA108">
        <v>14300000</v>
      </c>
    </row>
    <row r="109" spans="1:27" x14ac:dyDescent="0.2">
      <c r="A109" t="s">
        <v>385</v>
      </c>
      <c r="B109">
        <v>-757000000</v>
      </c>
      <c r="C109">
        <v>-1028000000</v>
      </c>
      <c r="D109">
        <v>-1177000000</v>
      </c>
      <c r="E109">
        <v>-1231000000</v>
      </c>
      <c r="F109">
        <v>-1517000000</v>
      </c>
      <c r="K109" t="s">
        <v>314</v>
      </c>
      <c r="L109">
        <v>25000000</v>
      </c>
      <c r="M109">
        <v>1288753000</v>
      </c>
      <c r="N109" t="s">
        <v>340</v>
      </c>
      <c r="O109" t="s">
        <v>340</v>
      </c>
      <c r="V109" t="s">
        <v>301</v>
      </c>
      <c r="W109">
        <v>-6000000</v>
      </c>
      <c r="X109">
        <v>-4500000</v>
      </c>
      <c r="Y109">
        <v>-11600000</v>
      </c>
      <c r="Z109">
        <v>-10800000</v>
      </c>
      <c r="AA109">
        <v>-36300000</v>
      </c>
    </row>
    <row r="110" spans="1:27" x14ac:dyDescent="0.2">
      <c r="A110" t="s">
        <v>386</v>
      </c>
      <c r="B110">
        <v>-153000000</v>
      </c>
      <c r="C110">
        <v>-140000000</v>
      </c>
      <c r="D110">
        <v>-293000000</v>
      </c>
      <c r="E110">
        <v>-290000000</v>
      </c>
      <c r="F110">
        <v>-347000000</v>
      </c>
      <c r="K110" t="s">
        <v>387</v>
      </c>
      <c r="L110">
        <v>-2490000</v>
      </c>
      <c r="M110">
        <v>-5119000</v>
      </c>
      <c r="N110">
        <v>-1884000</v>
      </c>
      <c r="O110" t="s">
        <v>340</v>
      </c>
      <c r="P110">
        <v>-720000</v>
      </c>
      <c r="V110" t="s">
        <v>378</v>
      </c>
      <c r="W110">
        <v>-6000000</v>
      </c>
      <c r="X110">
        <v>-4500000</v>
      </c>
      <c r="Y110">
        <v>-11600000</v>
      </c>
      <c r="Z110">
        <v>-10800000</v>
      </c>
      <c r="AA110">
        <v>-36300000</v>
      </c>
    </row>
    <row r="111" spans="1:27" x14ac:dyDescent="0.2">
      <c r="A111" t="s">
        <v>388</v>
      </c>
      <c r="K111" t="s">
        <v>389</v>
      </c>
      <c r="L111">
        <v>-2490000</v>
      </c>
      <c r="M111">
        <v>-5119000</v>
      </c>
      <c r="N111">
        <v>-1884000</v>
      </c>
      <c r="O111" t="s">
        <v>340</v>
      </c>
      <c r="P111">
        <v>-720000</v>
      </c>
      <c r="V111" t="s">
        <v>300</v>
      </c>
      <c r="W111">
        <v>4500000</v>
      </c>
      <c r="X111">
        <v>8400000</v>
      </c>
      <c r="Y111">
        <v>11900000</v>
      </c>
      <c r="Z111">
        <v>32300000</v>
      </c>
      <c r="AA111">
        <v>37800000</v>
      </c>
    </row>
    <row r="112" spans="1:27" x14ac:dyDescent="0.2">
      <c r="K112" t="s">
        <v>381</v>
      </c>
      <c r="L112">
        <v>7472000</v>
      </c>
      <c r="M112">
        <v>4744000</v>
      </c>
      <c r="N112">
        <v>3688000</v>
      </c>
      <c r="O112">
        <v>3776000</v>
      </c>
      <c r="P112">
        <v>3193000</v>
      </c>
      <c r="V112" t="s">
        <v>372</v>
      </c>
      <c r="W112">
        <v>-1200000</v>
      </c>
      <c r="X112" t="s">
        <v>340</v>
      </c>
    </row>
    <row r="113" spans="1:27" x14ac:dyDescent="0.2">
      <c r="A113" s="16" t="s">
        <v>390</v>
      </c>
      <c r="B113" s="15">
        <v>2019</v>
      </c>
      <c r="C113" s="15">
        <v>2020</v>
      </c>
      <c r="D113" s="15">
        <v>2021</v>
      </c>
      <c r="E113" s="15">
        <v>2022</v>
      </c>
      <c r="F113" s="15">
        <v>2023</v>
      </c>
      <c r="G113" s="15"/>
      <c r="K113" t="s">
        <v>324</v>
      </c>
      <c r="L113">
        <v>-4235000</v>
      </c>
      <c r="M113">
        <v>-51525000</v>
      </c>
      <c r="N113">
        <v>85739000</v>
      </c>
      <c r="O113">
        <v>-5151000</v>
      </c>
      <c r="P113">
        <v>-6163000</v>
      </c>
      <c r="V113" t="s">
        <v>297</v>
      </c>
      <c r="W113" t="s">
        <v>340</v>
      </c>
    </row>
    <row r="114" spans="1:27" x14ac:dyDescent="0.2">
      <c r="A114" t="s">
        <v>6</v>
      </c>
      <c r="B114">
        <v>23717000000</v>
      </c>
      <c r="C114">
        <v>31342000000</v>
      </c>
      <c r="D114">
        <v>37740000000</v>
      </c>
      <c r="E114">
        <v>40321000000</v>
      </c>
      <c r="F114">
        <v>37531000000</v>
      </c>
      <c r="K114" t="s">
        <v>319</v>
      </c>
      <c r="V114" t="s">
        <v>299</v>
      </c>
      <c r="W114" t="s">
        <v>340</v>
      </c>
    </row>
    <row r="115" spans="1:27" x14ac:dyDescent="0.2">
      <c r="A115" t="s">
        <v>7</v>
      </c>
      <c r="B115">
        <v>16525000000</v>
      </c>
      <c r="C115">
        <v>20556000000</v>
      </c>
      <c r="D115">
        <v>26291000000</v>
      </c>
      <c r="E115">
        <v>28213000000</v>
      </c>
      <c r="F115">
        <v>25202000000</v>
      </c>
      <c r="K115" t="s">
        <v>320</v>
      </c>
      <c r="V115" t="s">
        <v>298</v>
      </c>
    </row>
    <row r="116" spans="1:27" x14ac:dyDescent="0.2">
      <c r="A116" t="s">
        <v>8</v>
      </c>
      <c r="B116">
        <v>4663000000</v>
      </c>
      <c r="C116">
        <v>8787000000</v>
      </c>
      <c r="D116">
        <v>13476000000</v>
      </c>
      <c r="E116">
        <v>12997000000</v>
      </c>
      <c r="F116">
        <v>10675000000</v>
      </c>
      <c r="K116" t="s">
        <v>321</v>
      </c>
      <c r="V116" t="s">
        <v>304</v>
      </c>
      <c r="W116">
        <v>-272900000</v>
      </c>
      <c r="X116">
        <v>-129200000</v>
      </c>
      <c r="Y116">
        <v>-164000000</v>
      </c>
      <c r="Z116">
        <v>-476400000</v>
      </c>
      <c r="AA116">
        <v>-277100000</v>
      </c>
    </row>
    <row r="117" spans="1:27" x14ac:dyDescent="0.2">
      <c r="A117" t="s">
        <v>9</v>
      </c>
      <c r="B117">
        <v>4466000000</v>
      </c>
      <c r="C117">
        <v>8348000000</v>
      </c>
      <c r="D117">
        <v>9889000000</v>
      </c>
      <c r="E117">
        <v>8574000000</v>
      </c>
      <c r="F117">
        <v>7441000000</v>
      </c>
      <c r="K117" t="s">
        <v>383</v>
      </c>
      <c r="V117" t="s">
        <v>305</v>
      </c>
      <c r="W117">
        <v>-272800000</v>
      </c>
      <c r="X117">
        <v>-129400000</v>
      </c>
      <c r="Y117">
        <v>-163900000</v>
      </c>
      <c r="Z117">
        <v>-476400000</v>
      </c>
      <c r="AA117">
        <v>-277000000</v>
      </c>
    </row>
    <row r="118" spans="1:27" x14ac:dyDescent="0.2">
      <c r="A118" t="s">
        <v>391</v>
      </c>
      <c r="C118">
        <v>596000000</v>
      </c>
      <c r="D118">
        <v>840000000</v>
      </c>
      <c r="E118">
        <v>839000000</v>
      </c>
      <c r="F118">
        <v>1767000000</v>
      </c>
      <c r="K118" t="s">
        <v>326</v>
      </c>
      <c r="L118">
        <v>796008000</v>
      </c>
      <c r="M118">
        <v>1528515000</v>
      </c>
      <c r="N118" t="s">
        <v>392</v>
      </c>
      <c r="O118">
        <v>727726000</v>
      </c>
      <c r="P118">
        <v>876917000</v>
      </c>
      <c r="V118" t="s">
        <v>309</v>
      </c>
      <c r="W118">
        <v>-7100000</v>
      </c>
      <c r="X118">
        <v>94200000</v>
      </c>
      <c r="Y118">
        <v>166500000</v>
      </c>
      <c r="Z118">
        <v>-60000000</v>
      </c>
      <c r="AA118">
        <v>240500000</v>
      </c>
    </row>
    <row r="119" spans="1:27" x14ac:dyDescent="0.2">
      <c r="A119" t="s">
        <v>393</v>
      </c>
      <c r="C119">
        <v>7752000000</v>
      </c>
      <c r="D119">
        <v>9049000000</v>
      </c>
      <c r="E119">
        <v>7735000000</v>
      </c>
      <c r="F119">
        <v>5674000000</v>
      </c>
      <c r="K119" t="s">
        <v>327</v>
      </c>
      <c r="L119">
        <v>224848000</v>
      </c>
      <c r="M119">
        <v>716062000</v>
      </c>
      <c r="N119">
        <v>177746000</v>
      </c>
      <c r="O119">
        <v>-289085000</v>
      </c>
      <c r="P119">
        <v>169947000</v>
      </c>
      <c r="V119" t="s">
        <v>310</v>
      </c>
      <c r="X119">
        <v>112500000</v>
      </c>
      <c r="AA119">
        <v>-59100000</v>
      </c>
    </row>
    <row r="120" spans="1:27" x14ac:dyDescent="0.2">
      <c r="A120" t="s">
        <v>10</v>
      </c>
      <c r="B120">
        <v>197000000</v>
      </c>
      <c r="C120">
        <v>439000000</v>
      </c>
      <c r="D120">
        <v>3587000000</v>
      </c>
      <c r="E120">
        <v>4423000000</v>
      </c>
      <c r="F120">
        <v>3234000000</v>
      </c>
      <c r="K120" t="s">
        <v>328</v>
      </c>
      <c r="L120">
        <v>5100000</v>
      </c>
      <c r="M120">
        <v>16445000</v>
      </c>
      <c r="N120">
        <v>-23391000</v>
      </c>
      <c r="O120">
        <v>-5315000</v>
      </c>
      <c r="P120">
        <v>-19775000</v>
      </c>
      <c r="V120" t="s">
        <v>312</v>
      </c>
      <c r="X120">
        <v>112500000</v>
      </c>
      <c r="AA120" t="s">
        <v>340</v>
      </c>
    </row>
    <row r="121" spans="1:27" x14ac:dyDescent="0.2">
      <c r="A121" t="s">
        <v>394</v>
      </c>
      <c r="F121">
        <v>3234000000</v>
      </c>
      <c r="K121" t="s">
        <v>330</v>
      </c>
      <c r="L121">
        <v>566060000</v>
      </c>
      <c r="M121">
        <v>796008000</v>
      </c>
      <c r="N121" t="s">
        <v>392</v>
      </c>
      <c r="O121" t="s">
        <v>392</v>
      </c>
      <c r="P121">
        <v>726745000</v>
      </c>
      <c r="V121" t="s">
        <v>311</v>
      </c>
      <c r="AA121">
        <v>-59100000</v>
      </c>
    </row>
    <row r="122" spans="1:27" x14ac:dyDescent="0.2">
      <c r="A122" t="s">
        <v>11</v>
      </c>
      <c r="E122">
        <v>4423000000</v>
      </c>
      <c r="K122" t="s">
        <v>331</v>
      </c>
      <c r="V122" t="s">
        <v>313</v>
      </c>
      <c r="W122">
        <v>-7100000</v>
      </c>
      <c r="X122">
        <v>-18300000</v>
      </c>
      <c r="Y122">
        <v>166500000</v>
      </c>
      <c r="Z122">
        <v>-60000000</v>
      </c>
      <c r="AA122">
        <v>299600000</v>
      </c>
    </row>
    <row r="123" spans="1:27" x14ac:dyDescent="0.2">
      <c r="A123" t="s">
        <v>12</v>
      </c>
      <c r="B123">
        <v>5622000000</v>
      </c>
      <c r="C123">
        <v>7367000000</v>
      </c>
      <c r="D123">
        <v>6854000000</v>
      </c>
      <c r="E123">
        <v>8420000000</v>
      </c>
      <c r="F123">
        <v>8454000000</v>
      </c>
      <c r="K123" t="s">
        <v>332</v>
      </c>
      <c r="L123">
        <v>229948000</v>
      </c>
      <c r="M123">
        <v>732507000</v>
      </c>
      <c r="N123">
        <v>154355000</v>
      </c>
      <c r="O123">
        <v>-294400000</v>
      </c>
      <c r="P123">
        <v>150172000</v>
      </c>
      <c r="V123" t="s">
        <v>314</v>
      </c>
      <c r="W123" t="s">
        <v>340</v>
      </c>
      <c r="Y123">
        <v>235000000</v>
      </c>
      <c r="Z123" t="s">
        <v>340</v>
      </c>
      <c r="AA123">
        <v>299600000</v>
      </c>
    </row>
    <row r="124" spans="1:27" x14ac:dyDescent="0.2">
      <c r="A124" t="s">
        <v>15</v>
      </c>
      <c r="B124">
        <v>5622000000</v>
      </c>
      <c r="C124">
        <v>7367000000</v>
      </c>
      <c r="D124">
        <v>6854000000</v>
      </c>
      <c r="E124">
        <v>8420000000</v>
      </c>
      <c r="F124">
        <v>8454000000</v>
      </c>
      <c r="K124" t="s">
        <v>395</v>
      </c>
      <c r="N124">
        <v>19214000</v>
      </c>
      <c r="O124">
        <v>28542000</v>
      </c>
      <c r="P124">
        <v>83133000</v>
      </c>
      <c r="V124" t="s">
        <v>315</v>
      </c>
      <c r="W124">
        <v>-7100000</v>
      </c>
      <c r="X124">
        <v>-18300000</v>
      </c>
      <c r="Y124">
        <v>-68500000</v>
      </c>
      <c r="Z124">
        <v>-60000000</v>
      </c>
      <c r="AA124" t="s">
        <v>340</v>
      </c>
    </row>
    <row r="125" spans="1:27" x14ac:dyDescent="0.2">
      <c r="A125" t="s">
        <v>18</v>
      </c>
      <c r="B125">
        <v>4272000000</v>
      </c>
      <c r="C125">
        <v>2749000000</v>
      </c>
      <c r="D125">
        <v>4463000000</v>
      </c>
      <c r="E125">
        <v>4667000000</v>
      </c>
      <c r="F125">
        <v>4131000000</v>
      </c>
      <c r="K125" t="s">
        <v>386</v>
      </c>
      <c r="L125">
        <v>-18031000</v>
      </c>
      <c r="M125">
        <v>-28626000</v>
      </c>
      <c r="N125">
        <v>-25226000</v>
      </c>
      <c r="O125">
        <v>-19218000</v>
      </c>
      <c r="P125">
        <v>-4428000</v>
      </c>
      <c r="V125" t="s">
        <v>316</v>
      </c>
      <c r="W125">
        <v>-140800000</v>
      </c>
      <c r="X125">
        <v>-135000000</v>
      </c>
      <c r="Y125">
        <v>-160900000</v>
      </c>
      <c r="Z125">
        <v>-190000000</v>
      </c>
      <c r="AA125">
        <v>-208000000</v>
      </c>
    </row>
    <row r="126" spans="1:27" x14ac:dyDescent="0.2">
      <c r="A126" t="s">
        <v>19</v>
      </c>
      <c r="B126">
        <v>4272000000</v>
      </c>
      <c r="C126">
        <v>2749000000</v>
      </c>
      <c r="D126">
        <v>4463000000</v>
      </c>
      <c r="E126">
        <v>4667000000</v>
      </c>
      <c r="F126">
        <v>4131000000</v>
      </c>
      <c r="K126" t="s">
        <v>385</v>
      </c>
      <c r="L126">
        <v>-23352000</v>
      </c>
      <c r="M126">
        <v>-24443000</v>
      </c>
      <c r="V126" t="s">
        <v>317</v>
      </c>
      <c r="W126">
        <v>-140800000</v>
      </c>
      <c r="X126">
        <v>-135000000</v>
      </c>
      <c r="Y126">
        <v>-160900000</v>
      </c>
      <c r="Z126">
        <v>-190000000</v>
      </c>
      <c r="AA126">
        <v>-208000000</v>
      </c>
    </row>
    <row r="127" spans="1:27" x14ac:dyDescent="0.2">
      <c r="A127" t="s">
        <v>20</v>
      </c>
      <c r="C127">
        <v>2963000000</v>
      </c>
      <c r="D127">
        <v>4556000000</v>
      </c>
      <c r="E127">
        <v>4701000000</v>
      </c>
      <c r="F127">
        <v>4166000000</v>
      </c>
      <c r="K127" t="s">
        <v>396</v>
      </c>
      <c r="V127" t="s">
        <v>319</v>
      </c>
      <c r="W127">
        <v>-95900000</v>
      </c>
      <c r="X127">
        <v>-43000000</v>
      </c>
      <c r="Y127">
        <v>-68300000</v>
      </c>
      <c r="Z127">
        <v>-161500000</v>
      </c>
      <c r="AA127">
        <v>-217100000</v>
      </c>
    </row>
    <row r="128" spans="1:27" x14ac:dyDescent="0.2">
      <c r="A128" t="s">
        <v>21</v>
      </c>
      <c r="C128">
        <v>-214000000</v>
      </c>
      <c r="D128">
        <v>-93000000</v>
      </c>
      <c r="E128">
        <v>-34000000</v>
      </c>
      <c r="F128">
        <v>-35000000</v>
      </c>
      <c r="V128" t="s">
        <v>320</v>
      </c>
      <c r="W128">
        <v>-52300000</v>
      </c>
      <c r="X128" t="s">
        <v>340</v>
      </c>
      <c r="Y128">
        <v>-23900000</v>
      </c>
      <c r="Z128">
        <v>-107700000</v>
      </c>
      <c r="AA128">
        <v>-122800000</v>
      </c>
    </row>
    <row r="129" spans="1:27" x14ac:dyDescent="0.2">
      <c r="A129" t="s">
        <v>26</v>
      </c>
      <c r="B129">
        <v>1968000000</v>
      </c>
      <c r="C129">
        <v>1653000000</v>
      </c>
      <c r="D129">
        <v>1498000000</v>
      </c>
      <c r="E129">
        <v>2129000000</v>
      </c>
      <c r="F129">
        <v>1942000000</v>
      </c>
      <c r="V129" t="s">
        <v>322</v>
      </c>
      <c r="W129">
        <v>-43600000</v>
      </c>
      <c r="X129">
        <v>-43000000</v>
      </c>
      <c r="Y129">
        <v>-44400000</v>
      </c>
      <c r="Z129">
        <v>-53800000</v>
      </c>
      <c r="AA129">
        <v>-94300000</v>
      </c>
    </row>
    <row r="130" spans="1:27" x14ac:dyDescent="0.2">
      <c r="A130" t="s">
        <v>397</v>
      </c>
      <c r="K130" s="16" t="s">
        <v>398</v>
      </c>
      <c r="L130" s="15">
        <v>2019</v>
      </c>
      <c r="M130" s="15">
        <v>2020</v>
      </c>
      <c r="N130" s="15">
        <v>2021</v>
      </c>
      <c r="O130" s="15">
        <v>2023</v>
      </c>
      <c r="P130" s="15">
        <v>2024</v>
      </c>
      <c r="V130" t="s">
        <v>323</v>
      </c>
      <c r="W130">
        <v>-18600000</v>
      </c>
      <c r="X130">
        <v>-45600000</v>
      </c>
      <c r="Y130">
        <v>-47800000</v>
      </c>
      <c r="Z130">
        <v>-73300000</v>
      </c>
      <c r="AA130">
        <v>-92400000</v>
      </c>
    </row>
    <row r="131" spans="1:27" x14ac:dyDescent="0.2">
      <c r="A131" t="s">
        <v>31</v>
      </c>
      <c r="B131">
        <v>7192000000</v>
      </c>
      <c r="C131">
        <v>10786000000</v>
      </c>
      <c r="D131">
        <v>11449000000</v>
      </c>
      <c r="E131">
        <v>12108000000</v>
      </c>
      <c r="F131">
        <v>12329000000</v>
      </c>
      <c r="K131" t="s">
        <v>6</v>
      </c>
      <c r="L131">
        <v>4843531000</v>
      </c>
      <c r="M131">
        <v>5030628000</v>
      </c>
      <c r="N131">
        <v>4991396000</v>
      </c>
      <c r="O131">
        <v>4857083000</v>
      </c>
      <c r="P131">
        <v>4760734000</v>
      </c>
      <c r="V131" t="s">
        <v>324</v>
      </c>
      <c r="W131">
        <v>-10400000</v>
      </c>
      <c r="X131" t="s">
        <v>340</v>
      </c>
      <c r="Y131">
        <v>-53400000</v>
      </c>
      <c r="Z131">
        <v>8400000</v>
      </c>
    </row>
    <row r="132" spans="1:27" x14ac:dyDescent="0.2">
      <c r="A132" t="s">
        <v>32</v>
      </c>
      <c r="B132">
        <v>4744000000</v>
      </c>
      <c r="C132">
        <v>7963000000</v>
      </c>
      <c r="D132">
        <v>8017000000</v>
      </c>
      <c r="E132">
        <v>7717000000</v>
      </c>
      <c r="F132">
        <v>8004000000</v>
      </c>
      <c r="K132" t="s">
        <v>7</v>
      </c>
      <c r="L132">
        <v>2702209000</v>
      </c>
      <c r="M132">
        <v>3222975000</v>
      </c>
      <c r="N132">
        <v>3336299000</v>
      </c>
      <c r="O132">
        <v>2959586000</v>
      </c>
      <c r="P132">
        <v>2863682000</v>
      </c>
      <c r="V132" t="s">
        <v>318</v>
      </c>
    </row>
    <row r="133" spans="1:27" x14ac:dyDescent="0.2">
      <c r="A133" t="s">
        <v>33</v>
      </c>
      <c r="B133">
        <v>9469000000</v>
      </c>
      <c r="C133">
        <v>12758000000</v>
      </c>
      <c r="D133">
        <v>13174000000</v>
      </c>
      <c r="E133">
        <v>13023000000</v>
      </c>
      <c r="F133">
        <v>13638000000</v>
      </c>
      <c r="K133" t="s">
        <v>8</v>
      </c>
      <c r="L133">
        <v>788072000</v>
      </c>
      <c r="M133">
        <v>1517361000</v>
      </c>
      <c r="N133">
        <v>1669453000</v>
      </c>
      <c r="O133">
        <v>711910000</v>
      </c>
      <c r="P133">
        <v>858691000</v>
      </c>
      <c r="V133" t="s">
        <v>326</v>
      </c>
      <c r="W133">
        <v>518100000</v>
      </c>
      <c r="X133">
        <v>655900000</v>
      </c>
      <c r="Y133">
        <v>757500000</v>
      </c>
      <c r="Z133">
        <v>463100000</v>
      </c>
      <c r="AA133">
        <v>552900000</v>
      </c>
    </row>
    <row r="134" spans="1:27" x14ac:dyDescent="0.2">
      <c r="A134" t="s">
        <v>34</v>
      </c>
      <c r="B134">
        <v>4337000000</v>
      </c>
      <c r="C134">
        <v>4341000000</v>
      </c>
      <c r="D134">
        <v>5336000000</v>
      </c>
      <c r="E134">
        <v>5212000000</v>
      </c>
      <c r="F134">
        <v>5495000000</v>
      </c>
      <c r="K134" t="s">
        <v>9</v>
      </c>
      <c r="L134">
        <v>788072000</v>
      </c>
      <c r="M134">
        <v>1517361000</v>
      </c>
      <c r="N134">
        <v>1669453000</v>
      </c>
      <c r="O134">
        <v>711910000</v>
      </c>
      <c r="P134">
        <v>858691000</v>
      </c>
      <c r="V134" t="s">
        <v>327</v>
      </c>
      <c r="W134">
        <v>57200000</v>
      </c>
      <c r="X134">
        <v>146800000</v>
      </c>
      <c r="Y134">
        <v>112300000</v>
      </c>
      <c r="Z134">
        <v>-298900000</v>
      </c>
      <c r="AA134">
        <v>91900000</v>
      </c>
    </row>
    <row r="135" spans="1:27" x14ac:dyDescent="0.2">
      <c r="A135" t="s">
        <v>35</v>
      </c>
      <c r="B135">
        <v>329000000</v>
      </c>
      <c r="C135">
        <v>345000000</v>
      </c>
      <c r="D135">
        <v>363000000</v>
      </c>
      <c r="E135">
        <v>330000000</v>
      </c>
      <c r="F135">
        <v>326000000</v>
      </c>
      <c r="K135" t="s">
        <v>12</v>
      </c>
      <c r="L135">
        <v>892258000</v>
      </c>
      <c r="M135">
        <v>895974000</v>
      </c>
      <c r="N135">
        <v>811410000</v>
      </c>
      <c r="O135">
        <v>1190253000</v>
      </c>
      <c r="P135">
        <v>958495000</v>
      </c>
      <c r="V135" t="s">
        <v>328</v>
      </c>
      <c r="W135">
        <v>-2800000</v>
      </c>
      <c r="X135">
        <v>-8900000</v>
      </c>
      <c r="Y135">
        <v>-10500000</v>
      </c>
      <c r="Z135">
        <v>4400000</v>
      </c>
      <c r="AA135">
        <v>-2100000</v>
      </c>
    </row>
    <row r="136" spans="1:27" x14ac:dyDescent="0.2">
      <c r="A136" t="s">
        <v>399</v>
      </c>
      <c r="B136">
        <v>2445000000</v>
      </c>
      <c r="C136">
        <v>2442000000</v>
      </c>
      <c r="D136">
        <v>3365000000</v>
      </c>
      <c r="E136">
        <v>3170000000</v>
      </c>
      <c r="F136">
        <v>3293000000</v>
      </c>
      <c r="K136" t="s">
        <v>18</v>
      </c>
      <c r="L136">
        <v>708714000</v>
      </c>
      <c r="M136">
        <v>527340000</v>
      </c>
      <c r="N136">
        <v>569014000</v>
      </c>
      <c r="O136">
        <v>759860000</v>
      </c>
      <c r="P136">
        <v>757339000</v>
      </c>
      <c r="V136" t="s">
        <v>330</v>
      </c>
      <c r="W136">
        <v>463700000</v>
      </c>
      <c r="X136">
        <v>518100000</v>
      </c>
      <c r="Y136">
        <v>655900000</v>
      </c>
      <c r="Z136">
        <v>757500000</v>
      </c>
      <c r="AA136">
        <v>463100000</v>
      </c>
    </row>
    <row r="137" spans="1:27" x14ac:dyDescent="0.2">
      <c r="A137" t="s">
        <v>36</v>
      </c>
      <c r="B137">
        <v>1563000000</v>
      </c>
      <c r="C137">
        <v>1554000000</v>
      </c>
      <c r="D137">
        <v>1608000000</v>
      </c>
      <c r="E137">
        <v>1712000000</v>
      </c>
      <c r="F137">
        <v>1876000000</v>
      </c>
      <c r="K137" t="s">
        <v>19</v>
      </c>
      <c r="L137">
        <v>708714000</v>
      </c>
      <c r="M137">
        <v>527340000</v>
      </c>
      <c r="N137">
        <v>569014000</v>
      </c>
      <c r="O137">
        <v>759860000</v>
      </c>
      <c r="P137">
        <v>757339000</v>
      </c>
      <c r="V137" t="s">
        <v>331</v>
      </c>
    </row>
    <row r="138" spans="1:27" x14ac:dyDescent="0.2">
      <c r="A138" t="s">
        <v>400</v>
      </c>
      <c r="B138">
        <v>4335000000</v>
      </c>
      <c r="C138">
        <v>4234000000</v>
      </c>
      <c r="D138">
        <v>4414000000</v>
      </c>
      <c r="E138">
        <v>4486000000</v>
      </c>
      <c r="F138">
        <v>4695000000</v>
      </c>
      <c r="K138" t="s">
        <v>20</v>
      </c>
      <c r="L138">
        <v>723796000</v>
      </c>
      <c r="M138">
        <v>547690000</v>
      </c>
      <c r="N138">
        <v>576142000</v>
      </c>
      <c r="O138">
        <v>770673000</v>
      </c>
      <c r="P138">
        <v>772333000</v>
      </c>
      <c r="V138" t="s">
        <v>332</v>
      </c>
      <c r="W138">
        <v>54300000</v>
      </c>
      <c r="X138">
        <v>137800000</v>
      </c>
      <c r="Y138">
        <v>101700000</v>
      </c>
      <c r="Z138">
        <v>-294400000</v>
      </c>
      <c r="AA138">
        <v>89800000</v>
      </c>
    </row>
    <row r="139" spans="1:27" x14ac:dyDescent="0.2">
      <c r="A139" t="s">
        <v>401</v>
      </c>
      <c r="C139">
        <v>2751000000</v>
      </c>
      <c r="D139">
        <v>3023000000</v>
      </c>
      <c r="E139">
        <v>2870000000</v>
      </c>
      <c r="F139">
        <v>3083000000</v>
      </c>
      <c r="K139" t="s">
        <v>21</v>
      </c>
      <c r="L139">
        <v>-15082000</v>
      </c>
      <c r="M139">
        <v>-20350000</v>
      </c>
      <c r="N139">
        <v>-7128000</v>
      </c>
      <c r="O139">
        <v>-10813000</v>
      </c>
      <c r="P139">
        <v>-14994000</v>
      </c>
      <c r="V139" t="s">
        <v>179</v>
      </c>
    </row>
    <row r="140" spans="1:27" x14ac:dyDescent="0.2">
      <c r="A140" t="s">
        <v>402</v>
      </c>
      <c r="C140">
        <v>1483000000</v>
      </c>
      <c r="D140">
        <v>1391000000</v>
      </c>
      <c r="E140">
        <v>1616000000</v>
      </c>
      <c r="F140">
        <v>1612000000</v>
      </c>
      <c r="K140" t="s">
        <v>26</v>
      </c>
      <c r="L140">
        <v>313165000</v>
      </c>
      <c r="M140">
        <v>282300000</v>
      </c>
      <c r="N140">
        <v>286422000</v>
      </c>
      <c r="O140">
        <v>297563000</v>
      </c>
      <c r="P140">
        <v>289157000</v>
      </c>
    </row>
    <row r="141" spans="1:27" x14ac:dyDescent="0.2">
      <c r="A141" t="s">
        <v>37</v>
      </c>
      <c r="B141">
        <v>797000000</v>
      </c>
      <c r="C141">
        <v>1086000000</v>
      </c>
      <c r="D141">
        <v>311000000</v>
      </c>
      <c r="E141">
        <v>399000000</v>
      </c>
      <c r="F141">
        <v>525000000</v>
      </c>
      <c r="K141" t="s">
        <v>31</v>
      </c>
      <c r="L141">
        <v>2141323000</v>
      </c>
      <c r="M141">
        <v>1807653000</v>
      </c>
      <c r="N141">
        <v>1655097000</v>
      </c>
      <c r="O141">
        <v>1897497000</v>
      </c>
      <c r="P141">
        <v>1897052000</v>
      </c>
    </row>
    <row r="142" spans="1:27" x14ac:dyDescent="0.2">
      <c r="A142" t="s">
        <v>38</v>
      </c>
      <c r="C142">
        <v>3097000000</v>
      </c>
      <c r="D142">
        <v>3113000000</v>
      </c>
      <c r="E142">
        <v>2926000000</v>
      </c>
      <c r="F142">
        <v>2923000000</v>
      </c>
      <c r="K142" t="s">
        <v>32</v>
      </c>
      <c r="L142">
        <v>1384079000</v>
      </c>
      <c r="M142">
        <v>1195338000</v>
      </c>
      <c r="N142">
        <v>1055590000</v>
      </c>
      <c r="O142">
        <v>1162042000</v>
      </c>
      <c r="P142">
        <v>1099202000</v>
      </c>
      <c r="V142" s="16" t="s">
        <v>403</v>
      </c>
      <c r="W142" s="15">
        <v>2019</v>
      </c>
      <c r="X142" s="15">
        <v>2020</v>
      </c>
      <c r="Y142" s="15">
        <v>2021</v>
      </c>
      <c r="Z142" s="15">
        <v>2022</v>
      </c>
      <c r="AA142" s="15">
        <v>2023</v>
      </c>
    </row>
    <row r="143" spans="1:27" x14ac:dyDescent="0.2">
      <c r="A143" t="s">
        <v>40</v>
      </c>
      <c r="B143">
        <v>-4725000000</v>
      </c>
      <c r="C143">
        <v>-4795000000</v>
      </c>
      <c r="D143">
        <v>-5157000000</v>
      </c>
      <c r="E143">
        <v>-5306000000</v>
      </c>
      <c r="F143">
        <v>-5634000000</v>
      </c>
      <c r="K143" t="s">
        <v>33</v>
      </c>
      <c r="L143">
        <v>2194198000</v>
      </c>
      <c r="M143">
        <v>2078912000</v>
      </c>
      <c r="N143">
        <v>2005013000</v>
      </c>
      <c r="O143">
        <v>2225985000</v>
      </c>
      <c r="P143">
        <v>2255637000</v>
      </c>
      <c r="V143" t="s">
        <v>6</v>
      </c>
      <c r="W143">
        <v>4378200000</v>
      </c>
      <c r="X143">
        <v>4684100000</v>
      </c>
      <c r="Y143">
        <v>5728300000</v>
      </c>
      <c r="Z143">
        <v>6772700000</v>
      </c>
      <c r="AA143">
        <v>6640400000</v>
      </c>
    </row>
    <row r="144" spans="1:27" x14ac:dyDescent="0.2">
      <c r="A144" t="s">
        <v>41</v>
      </c>
      <c r="B144">
        <v>-4725000000</v>
      </c>
      <c r="C144">
        <v>-4795000000</v>
      </c>
      <c r="D144">
        <v>-5157000000</v>
      </c>
      <c r="E144">
        <v>-5306000000</v>
      </c>
      <c r="F144">
        <v>-5634000000</v>
      </c>
      <c r="K144" t="s">
        <v>34</v>
      </c>
      <c r="L144">
        <v>698871000</v>
      </c>
      <c r="M144">
        <v>672855000</v>
      </c>
      <c r="N144">
        <v>594596000</v>
      </c>
      <c r="O144">
        <v>594979000</v>
      </c>
      <c r="P144">
        <v>645821000</v>
      </c>
      <c r="V144" t="s">
        <v>7</v>
      </c>
      <c r="W144">
        <v>2481200000</v>
      </c>
      <c r="X144">
        <v>2613000000</v>
      </c>
      <c r="Y144">
        <v>3489800000</v>
      </c>
      <c r="Z144">
        <v>4200400000</v>
      </c>
      <c r="AA144">
        <v>3931100000</v>
      </c>
    </row>
    <row r="145" spans="1:27" x14ac:dyDescent="0.2">
      <c r="A145" t="s">
        <v>46</v>
      </c>
      <c r="B145">
        <v>437000000</v>
      </c>
      <c r="C145">
        <v>497000000</v>
      </c>
      <c r="D145">
        <v>511000000</v>
      </c>
      <c r="E145">
        <v>570000000</v>
      </c>
      <c r="F145">
        <v>555000000</v>
      </c>
      <c r="K145" t="s">
        <v>35</v>
      </c>
      <c r="L145">
        <v>83626000</v>
      </c>
      <c r="M145">
        <v>83626000</v>
      </c>
      <c r="N145">
        <v>83626000</v>
      </c>
      <c r="O145">
        <v>83626000</v>
      </c>
      <c r="P145">
        <v>82410000</v>
      </c>
      <c r="V145" t="s">
        <v>8</v>
      </c>
      <c r="W145">
        <v>549500000</v>
      </c>
      <c r="X145">
        <v>685200000</v>
      </c>
      <c r="Y145">
        <v>787700000</v>
      </c>
      <c r="Z145">
        <v>484700000</v>
      </c>
      <c r="AA145">
        <v>598500000</v>
      </c>
    </row>
    <row r="146" spans="1:27" x14ac:dyDescent="0.2">
      <c r="A146" t="s">
        <v>47</v>
      </c>
      <c r="B146">
        <v>457000000</v>
      </c>
      <c r="C146">
        <v>516000000</v>
      </c>
      <c r="D146">
        <v>538000000</v>
      </c>
      <c r="E146">
        <v>609000000</v>
      </c>
      <c r="F146">
        <v>555000000</v>
      </c>
      <c r="K146" t="s">
        <v>399</v>
      </c>
      <c r="L146">
        <v>52184000</v>
      </c>
      <c r="M146">
        <v>48382000</v>
      </c>
      <c r="N146">
        <v>48382000</v>
      </c>
      <c r="O146">
        <v>48632000</v>
      </c>
      <c r="P146">
        <v>68230000</v>
      </c>
      <c r="V146" t="s">
        <v>9</v>
      </c>
      <c r="W146">
        <v>518100000</v>
      </c>
      <c r="X146">
        <v>655900000</v>
      </c>
      <c r="Y146">
        <v>757500000</v>
      </c>
      <c r="Z146">
        <v>463100000</v>
      </c>
      <c r="AA146">
        <v>552900000</v>
      </c>
    </row>
    <row r="147" spans="1:27" x14ac:dyDescent="0.2">
      <c r="A147" t="s">
        <v>48</v>
      </c>
      <c r="B147">
        <v>154000000</v>
      </c>
      <c r="C147">
        <v>223000000</v>
      </c>
      <c r="D147">
        <v>242000000</v>
      </c>
      <c r="E147">
        <v>284000000</v>
      </c>
      <c r="F147">
        <v>281000000</v>
      </c>
      <c r="K147" t="s">
        <v>36</v>
      </c>
      <c r="L147">
        <v>563061000</v>
      </c>
      <c r="M147">
        <v>540847000</v>
      </c>
      <c r="N147">
        <v>462588000</v>
      </c>
      <c r="O147">
        <v>462721000</v>
      </c>
      <c r="P147">
        <v>495181000</v>
      </c>
      <c r="V147" t="s">
        <v>10</v>
      </c>
      <c r="W147">
        <v>31400000</v>
      </c>
      <c r="X147">
        <v>29300000</v>
      </c>
      <c r="Y147">
        <v>30200000</v>
      </c>
      <c r="Z147">
        <v>21600000</v>
      </c>
      <c r="AA147">
        <v>45600000</v>
      </c>
    </row>
    <row r="148" spans="1:27" x14ac:dyDescent="0.2">
      <c r="A148" t="s">
        <v>49</v>
      </c>
      <c r="B148">
        <v>303000000</v>
      </c>
      <c r="C148">
        <v>293000000</v>
      </c>
      <c r="D148">
        <v>296000000</v>
      </c>
      <c r="E148">
        <v>325000000</v>
      </c>
      <c r="F148">
        <v>274000000</v>
      </c>
      <c r="K148" t="s">
        <v>400</v>
      </c>
      <c r="L148">
        <v>844554000</v>
      </c>
      <c r="M148">
        <v>832133000</v>
      </c>
      <c r="N148">
        <v>903910000</v>
      </c>
      <c r="O148">
        <v>980620000</v>
      </c>
      <c r="P148">
        <v>970247000</v>
      </c>
      <c r="V148" t="s">
        <v>11</v>
      </c>
      <c r="W148">
        <v>31400000</v>
      </c>
      <c r="X148">
        <v>29300000</v>
      </c>
      <c r="Y148">
        <v>30200000</v>
      </c>
      <c r="Z148">
        <v>21600000</v>
      </c>
      <c r="AA148">
        <v>45600000</v>
      </c>
    </row>
    <row r="149" spans="1:27" x14ac:dyDescent="0.2">
      <c r="A149" t="s">
        <v>51</v>
      </c>
      <c r="B149">
        <v>303000000</v>
      </c>
      <c r="C149">
        <v>293000000</v>
      </c>
      <c r="D149">
        <v>296000000</v>
      </c>
      <c r="E149">
        <v>325000000</v>
      </c>
      <c r="K149" t="s">
        <v>401</v>
      </c>
      <c r="L149">
        <v>144844000</v>
      </c>
      <c r="M149">
        <v>130155000</v>
      </c>
      <c r="N149">
        <v>178187000</v>
      </c>
      <c r="O149">
        <v>178194000</v>
      </c>
      <c r="P149">
        <v>178316000</v>
      </c>
      <c r="V149" t="s">
        <v>27</v>
      </c>
      <c r="W149">
        <v>45200000</v>
      </c>
      <c r="X149">
        <v>23600000</v>
      </c>
      <c r="Y149">
        <v>123200000</v>
      </c>
      <c r="Z149">
        <v>115900000</v>
      </c>
      <c r="AA149">
        <v>34500000</v>
      </c>
    </row>
    <row r="150" spans="1:27" x14ac:dyDescent="0.2">
      <c r="A150" t="s">
        <v>53</v>
      </c>
      <c r="B150">
        <v>-20000000</v>
      </c>
      <c r="C150">
        <v>-19000000</v>
      </c>
      <c r="D150">
        <v>-27000000</v>
      </c>
      <c r="E150">
        <v>-39000000</v>
      </c>
      <c r="K150" t="s">
        <v>402</v>
      </c>
      <c r="L150">
        <v>699710000</v>
      </c>
      <c r="M150">
        <v>701978000</v>
      </c>
      <c r="N150">
        <v>725723000</v>
      </c>
      <c r="O150">
        <v>802426000</v>
      </c>
      <c r="P150">
        <v>791931000</v>
      </c>
      <c r="V150" t="s">
        <v>12</v>
      </c>
      <c r="W150">
        <v>1110100000</v>
      </c>
      <c r="X150">
        <v>1137900000</v>
      </c>
      <c r="Y150">
        <v>1466400000</v>
      </c>
      <c r="Z150">
        <v>2241900000</v>
      </c>
      <c r="AA150">
        <v>1801500000</v>
      </c>
    </row>
    <row r="151" spans="1:27" x14ac:dyDescent="0.2">
      <c r="A151" t="s">
        <v>56</v>
      </c>
      <c r="B151">
        <v>-20000000</v>
      </c>
      <c r="C151">
        <v>-19000000</v>
      </c>
      <c r="D151">
        <v>-27000000</v>
      </c>
      <c r="E151">
        <v>-39000000</v>
      </c>
      <c r="K151" t="s">
        <v>37</v>
      </c>
      <c r="L151">
        <v>54771000</v>
      </c>
      <c r="M151">
        <v>31217000</v>
      </c>
      <c r="N151">
        <v>52598000</v>
      </c>
      <c r="O151">
        <v>143243000</v>
      </c>
      <c r="P151">
        <v>175960000</v>
      </c>
      <c r="V151" t="s">
        <v>13</v>
      </c>
      <c r="W151">
        <v>18500000</v>
      </c>
      <c r="X151">
        <v>15400000</v>
      </c>
      <c r="Y151">
        <v>30200000</v>
      </c>
      <c r="Z151">
        <v>46800000</v>
      </c>
      <c r="AA151">
        <v>34900000</v>
      </c>
    </row>
    <row r="152" spans="1:27" x14ac:dyDescent="0.2">
      <c r="A152" t="s">
        <v>57</v>
      </c>
      <c r="B152">
        <v>-20000000</v>
      </c>
      <c r="C152">
        <v>-19000000</v>
      </c>
      <c r="D152">
        <v>-27000000</v>
      </c>
      <c r="E152">
        <v>-39000000</v>
      </c>
      <c r="K152" t="s">
        <v>38</v>
      </c>
      <c r="L152">
        <v>591931000</v>
      </c>
      <c r="M152">
        <v>536660000</v>
      </c>
      <c r="N152">
        <v>448364000</v>
      </c>
      <c r="O152">
        <v>489306000</v>
      </c>
      <c r="P152">
        <v>434699000</v>
      </c>
      <c r="V152" t="s">
        <v>15</v>
      </c>
      <c r="W152">
        <v>1052600000</v>
      </c>
      <c r="X152">
        <v>1078600000</v>
      </c>
      <c r="Y152">
        <v>1372200000</v>
      </c>
      <c r="Z152">
        <v>2128200000</v>
      </c>
      <c r="AA152">
        <v>1721400000</v>
      </c>
    </row>
    <row r="153" spans="1:27" x14ac:dyDescent="0.2">
      <c r="A153" t="s">
        <v>59</v>
      </c>
      <c r="B153">
        <v>-20000000</v>
      </c>
      <c r="C153">
        <v>-19000000</v>
      </c>
      <c r="D153">
        <v>-27000000</v>
      </c>
      <c r="E153">
        <v>-39000000</v>
      </c>
      <c r="K153" t="s">
        <v>39</v>
      </c>
      <c r="L153">
        <v>4071000</v>
      </c>
      <c r="M153">
        <v>6047000</v>
      </c>
      <c r="N153">
        <v>5545000</v>
      </c>
      <c r="O153">
        <v>17837000</v>
      </c>
      <c r="P153">
        <v>28910000</v>
      </c>
      <c r="V153" t="s">
        <v>404</v>
      </c>
      <c r="W153">
        <v>39000000</v>
      </c>
      <c r="X153">
        <v>43900000</v>
      </c>
      <c r="Y153">
        <v>64000000</v>
      </c>
      <c r="Z153">
        <v>66900000</v>
      </c>
      <c r="AA153">
        <v>45200000</v>
      </c>
    </row>
    <row r="154" spans="1:27" x14ac:dyDescent="0.2">
      <c r="A154" t="s">
        <v>77</v>
      </c>
      <c r="B154">
        <v>2011000000</v>
      </c>
      <c r="C154">
        <v>2326000000</v>
      </c>
      <c r="D154">
        <v>2921000000</v>
      </c>
      <c r="E154">
        <v>3821000000</v>
      </c>
      <c r="F154">
        <v>3770000000</v>
      </c>
      <c r="K154" t="s">
        <v>40</v>
      </c>
      <c r="L154">
        <v>-810119000</v>
      </c>
      <c r="M154">
        <v>-883574000</v>
      </c>
      <c r="N154">
        <v>-949423000</v>
      </c>
      <c r="O154">
        <v>-1063943000</v>
      </c>
      <c r="P154">
        <v>-1156435000</v>
      </c>
      <c r="V154" t="s">
        <v>18</v>
      </c>
      <c r="W154">
        <v>713300000</v>
      </c>
      <c r="X154">
        <v>715900000</v>
      </c>
      <c r="Y154">
        <v>996500000</v>
      </c>
      <c r="Z154">
        <v>1268700000</v>
      </c>
      <c r="AA154">
        <v>1395500000</v>
      </c>
    </row>
    <row r="155" spans="1:27" x14ac:dyDescent="0.2">
      <c r="A155" t="s">
        <v>78</v>
      </c>
      <c r="B155">
        <v>14677000000</v>
      </c>
      <c r="C155">
        <v>23287000000</v>
      </c>
      <c r="D155">
        <v>24973000000</v>
      </c>
      <c r="E155">
        <v>25040000000</v>
      </c>
      <c r="F155">
        <v>23527000000</v>
      </c>
      <c r="K155" t="s">
        <v>41</v>
      </c>
      <c r="L155">
        <v>-810119000</v>
      </c>
      <c r="M155">
        <v>-883574000</v>
      </c>
      <c r="N155">
        <v>-949423000</v>
      </c>
      <c r="O155">
        <v>-1063943000</v>
      </c>
      <c r="P155">
        <v>-1156435000</v>
      </c>
      <c r="V155" t="s">
        <v>19</v>
      </c>
      <c r="W155">
        <v>611700000</v>
      </c>
      <c r="X155">
        <v>621000000</v>
      </c>
      <c r="Y155">
        <v>848000000</v>
      </c>
      <c r="Z155">
        <v>1064900000</v>
      </c>
      <c r="AA155">
        <v>1118400000</v>
      </c>
    </row>
    <row r="156" spans="1:27" x14ac:dyDescent="0.2">
      <c r="A156" t="s">
        <v>79</v>
      </c>
      <c r="B156">
        <v>7866000000</v>
      </c>
      <c r="C156">
        <v>8284000000</v>
      </c>
      <c r="D156">
        <v>9674000000</v>
      </c>
      <c r="E156">
        <v>10730000000</v>
      </c>
      <c r="F156">
        <v>9256000000</v>
      </c>
      <c r="K156" t="s">
        <v>46</v>
      </c>
      <c r="L156">
        <v>586524000</v>
      </c>
      <c r="M156">
        <v>515509000</v>
      </c>
      <c r="N156">
        <v>506225000</v>
      </c>
      <c r="O156">
        <v>490932000</v>
      </c>
      <c r="P156">
        <v>485302000</v>
      </c>
      <c r="V156" t="s">
        <v>20</v>
      </c>
      <c r="W156">
        <v>648500000</v>
      </c>
      <c r="X156">
        <v>682900000</v>
      </c>
      <c r="Y156">
        <v>906700000</v>
      </c>
      <c r="Z156">
        <v>1122800000</v>
      </c>
      <c r="AA156">
        <v>1183400000</v>
      </c>
    </row>
    <row r="157" spans="1:27" x14ac:dyDescent="0.2">
      <c r="A157" t="s">
        <v>80</v>
      </c>
      <c r="B157">
        <v>4636000000</v>
      </c>
      <c r="C157">
        <v>4028000000</v>
      </c>
      <c r="D157">
        <v>6298000000</v>
      </c>
      <c r="E157">
        <v>7091000000</v>
      </c>
      <c r="F157">
        <v>5542000000</v>
      </c>
      <c r="K157" t="s">
        <v>47</v>
      </c>
      <c r="L157">
        <v>616495000</v>
      </c>
      <c r="M157">
        <v>550020000</v>
      </c>
      <c r="N157">
        <v>519797000</v>
      </c>
      <c r="O157">
        <v>499354000</v>
      </c>
      <c r="P157">
        <v>492687000</v>
      </c>
      <c r="V157" t="s">
        <v>21</v>
      </c>
      <c r="W157">
        <v>-36800000</v>
      </c>
      <c r="X157">
        <v>-61900000</v>
      </c>
      <c r="Y157">
        <v>-58700000</v>
      </c>
      <c r="Z157">
        <v>-57900000</v>
      </c>
      <c r="AA157">
        <v>-65000000</v>
      </c>
    </row>
    <row r="158" spans="1:27" x14ac:dyDescent="0.2">
      <c r="A158" t="s">
        <v>81</v>
      </c>
      <c r="B158">
        <v>3421000000</v>
      </c>
      <c r="C158">
        <v>2990000000</v>
      </c>
      <c r="D158">
        <v>3142000000</v>
      </c>
      <c r="E158">
        <v>3580000000</v>
      </c>
      <c r="F158">
        <v>3631000000</v>
      </c>
      <c r="K158" t="s">
        <v>48</v>
      </c>
      <c r="L158">
        <v>550178000</v>
      </c>
      <c r="M158">
        <v>502214000</v>
      </c>
      <c r="N158">
        <v>495215000</v>
      </c>
      <c r="O158">
        <v>481992000</v>
      </c>
      <c r="P158">
        <v>478302000</v>
      </c>
      <c r="V158" t="s">
        <v>405</v>
      </c>
      <c r="AA158">
        <v>14900000</v>
      </c>
    </row>
    <row r="159" spans="1:27" x14ac:dyDescent="0.2">
      <c r="A159" t="s">
        <v>82</v>
      </c>
      <c r="B159">
        <v>2612000000</v>
      </c>
      <c r="C159">
        <v>2248000000</v>
      </c>
      <c r="D159">
        <v>2836000000</v>
      </c>
      <c r="E159">
        <v>3358000000</v>
      </c>
      <c r="F159">
        <v>2862000000</v>
      </c>
      <c r="K159" t="s">
        <v>49</v>
      </c>
      <c r="L159">
        <v>66317000</v>
      </c>
      <c r="M159">
        <v>47806000</v>
      </c>
      <c r="N159">
        <v>24582000</v>
      </c>
      <c r="O159">
        <v>17362000</v>
      </c>
      <c r="P159">
        <v>14385000</v>
      </c>
      <c r="V159" t="s">
        <v>22</v>
      </c>
      <c r="W159">
        <v>64300000</v>
      </c>
      <c r="X159">
        <v>60200000</v>
      </c>
      <c r="Y159">
        <v>93200000</v>
      </c>
      <c r="Z159">
        <v>151900000</v>
      </c>
      <c r="AA159">
        <v>214600000</v>
      </c>
    </row>
    <row r="160" spans="1:27" x14ac:dyDescent="0.2">
      <c r="A160" t="s">
        <v>406</v>
      </c>
      <c r="B160">
        <v>346000000</v>
      </c>
      <c r="C160">
        <v>384000000</v>
      </c>
      <c r="F160">
        <v>529000000</v>
      </c>
      <c r="K160" t="s">
        <v>407</v>
      </c>
      <c r="L160" t="s">
        <v>340</v>
      </c>
      <c r="N160">
        <v>8567000</v>
      </c>
      <c r="O160">
        <v>8711000</v>
      </c>
      <c r="P160">
        <v>8609000</v>
      </c>
      <c r="V160" t="s">
        <v>25</v>
      </c>
      <c r="W160">
        <v>37300000</v>
      </c>
      <c r="X160">
        <v>34700000</v>
      </c>
      <c r="Y160">
        <v>55300000</v>
      </c>
      <c r="Z160">
        <v>51900000</v>
      </c>
      <c r="AA160">
        <v>47600000</v>
      </c>
    </row>
    <row r="161" spans="1:27" x14ac:dyDescent="0.2">
      <c r="A161" t="s">
        <v>83</v>
      </c>
      <c r="B161">
        <v>463000000</v>
      </c>
      <c r="C161">
        <v>358000000</v>
      </c>
      <c r="D161">
        <v>306000000</v>
      </c>
      <c r="E161">
        <v>222000000</v>
      </c>
      <c r="F161">
        <v>240000000</v>
      </c>
      <c r="K161" t="s">
        <v>50</v>
      </c>
      <c r="L161">
        <v>63781000</v>
      </c>
      <c r="M161">
        <v>46668000</v>
      </c>
      <c r="N161">
        <v>13479000</v>
      </c>
      <c r="O161">
        <v>6115000</v>
      </c>
      <c r="P161">
        <v>5776000</v>
      </c>
      <c r="V161" t="s">
        <v>28</v>
      </c>
      <c r="W161">
        <v>63100000</v>
      </c>
      <c r="X161">
        <v>50400000</v>
      </c>
      <c r="Y161">
        <v>116100000</v>
      </c>
      <c r="Z161">
        <v>89400000</v>
      </c>
      <c r="AA161">
        <v>101200000</v>
      </c>
    </row>
    <row r="162" spans="1:27" x14ac:dyDescent="0.2">
      <c r="A162" t="s">
        <v>84</v>
      </c>
      <c r="B162">
        <v>1215000000</v>
      </c>
      <c r="C162">
        <v>1038000000</v>
      </c>
      <c r="D162">
        <v>3156000000</v>
      </c>
      <c r="E162">
        <v>3511000000</v>
      </c>
      <c r="F162">
        <v>1911000000</v>
      </c>
      <c r="K162" t="s">
        <v>52</v>
      </c>
      <c r="L162">
        <v>2536000</v>
      </c>
      <c r="M162">
        <v>1138000</v>
      </c>
      <c r="N162">
        <v>2536000</v>
      </c>
      <c r="O162">
        <v>2536000</v>
      </c>
      <c r="V162" t="s">
        <v>31</v>
      </c>
      <c r="W162">
        <v>1897000000</v>
      </c>
      <c r="X162">
        <v>2071000000</v>
      </c>
      <c r="Y162">
        <v>2238400000</v>
      </c>
      <c r="Z162">
        <v>2572300000</v>
      </c>
      <c r="AA162">
        <v>2709300000</v>
      </c>
    </row>
    <row r="163" spans="1:27" x14ac:dyDescent="0.2">
      <c r="A163" t="s">
        <v>85</v>
      </c>
      <c r="B163">
        <v>356000000</v>
      </c>
      <c r="C163">
        <v>886000000</v>
      </c>
      <c r="D163">
        <v>469000000</v>
      </c>
      <c r="E163">
        <v>930000000</v>
      </c>
      <c r="F163">
        <v>431000000</v>
      </c>
      <c r="K163" t="s">
        <v>51</v>
      </c>
      <c r="V163" t="s">
        <v>32</v>
      </c>
      <c r="W163">
        <v>1113900000</v>
      </c>
      <c r="X163">
        <v>1284400000</v>
      </c>
      <c r="Y163">
        <v>1413000000</v>
      </c>
      <c r="Z163">
        <v>1703600000</v>
      </c>
      <c r="AA163">
        <v>1773200000</v>
      </c>
    </row>
    <row r="164" spans="1:27" x14ac:dyDescent="0.2">
      <c r="A164" t="s">
        <v>86</v>
      </c>
      <c r="B164">
        <v>15000000</v>
      </c>
      <c r="C164">
        <v>696000000</v>
      </c>
      <c r="D164">
        <v>469000000</v>
      </c>
      <c r="E164">
        <v>930000000</v>
      </c>
      <c r="F164">
        <v>431000000</v>
      </c>
      <c r="K164" t="s">
        <v>53</v>
      </c>
      <c r="L164">
        <v>-29971000</v>
      </c>
      <c r="M164">
        <v>-34511000</v>
      </c>
      <c r="N164">
        <v>-13572000</v>
      </c>
      <c r="O164">
        <v>-8422000</v>
      </c>
      <c r="P164">
        <v>-7385000</v>
      </c>
      <c r="V164" t="s">
        <v>33</v>
      </c>
      <c r="W164">
        <v>1638800000</v>
      </c>
      <c r="X164">
        <v>1995400000</v>
      </c>
      <c r="Y164">
        <v>2319600000</v>
      </c>
      <c r="Z164">
        <v>2844900000</v>
      </c>
      <c r="AA164">
        <v>2347600000</v>
      </c>
    </row>
    <row r="165" spans="1:27" x14ac:dyDescent="0.2">
      <c r="A165" t="s">
        <v>87</v>
      </c>
      <c r="B165">
        <v>9000000</v>
      </c>
      <c r="C165">
        <v>248000000</v>
      </c>
      <c r="D165">
        <v>2000000</v>
      </c>
      <c r="E165">
        <v>10000000</v>
      </c>
      <c r="F165">
        <v>6000000</v>
      </c>
      <c r="K165" t="s">
        <v>56</v>
      </c>
      <c r="L165">
        <v>-29971000</v>
      </c>
      <c r="M165">
        <v>-34511000</v>
      </c>
      <c r="N165">
        <v>-13572000</v>
      </c>
      <c r="O165">
        <v>-8422000</v>
      </c>
      <c r="P165">
        <v>-7385000</v>
      </c>
      <c r="V165" t="s">
        <v>34</v>
      </c>
      <c r="W165">
        <v>1012300000</v>
      </c>
      <c r="X165">
        <v>1294000000</v>
      </c>
      <c r="Y165">
        <v>1489100000</v>
      </c>
      <c r="Z165">
        <v>1807300000</v>
      </c>
      <c r="AA165">
        <v>1021900000</v>
      </c>
    </row>
    <row r="166" spans="1:27" x14ac:dyDescent="0.2">
      <c r="A166" t="s">
        <v>88</v>
      </c>
      <c r="B166">
        <v>9000000</v>
      </c>
      <c r="C166" t="s">
        <v>340</v>
      </c>
      <c r="D166">
        <v>2000000</v>
      </c>
      <c r="E166">
        <v>10000000</v>
      </c>
      <c r="F166">
        <v>6000000</v>
      </c>
      <c r="K166" t="s">
        <v>57</v>
      </c>
      <c r="L166">
        <v>-29971000</v>
      </c>
      <c r="M166">
        <v>-34511000</v>
      </c>
      <c r="N166">
        <v>-13572000</v>
      </c>
      <c r="O166">
        <v>-8422000</v>
      </c>
      <c r="P166">
        <v>-7385000</v>
      </c>
      <c r="V166" t="s">
        <v>399</v>
      </c>
      <c r="W166">
        <v>841000000</v>
      </c>
      <c r="X166">
        <v>1103700000</v>
      </c>
      <c r="Y166">
        <v>1320500000</v>
      </c>
      <c r="Z166">
        <v>1632100000</v>
      </c>
      <c r="AA166">
        <v>1021900000</v>
      </c>
    </row>
    <row r="167" spans="1:27" x14ac:dyDescent="0.2">
      <c r="A167" t="s">
        <v>408</v>
      </c>
      <c r="C167">
        <v>248000000</v>
      </c>
      <c r="D167" t="s">
        <v>340</v>
      </c>
      <c r="K167" t="s">
        <v>409</v>
      </c>
      <c r="L167" t="s">
        <v>340</v>
      </c>
      <c r="M167">
        <v>-1208000</v>
      </c>
      <c r="N167">
        <v>-2552000</v>
      </c>
      <c r="O167">
        <v>-4377000</v>
      </c>
      <c r="P167">
        <v>-5708000</v>
      </c>
      <c r="V167" t="s">
        <v>35</v>
      </c>
      <c r="W167">
        <v>171300000</v>
      </c>
      <c r="X167">
        <v>190300000</v>
      </c>
      <c r="Y167">
        <v>168600000</v>
      </c>
      <c r="Z167">
        <v>175200000</v>
      </c>
    </row>
    <row r="168" spans="1:27" x14ac:dyDescent="0.2">
      <c r="A168" t="s">
        <v>89</v>
      </c>
      <c r="B168">
        <v>6000000</v>
      </c>
      <c r="C168">
        <v>448000000</v>
      </c>
      <c r="D168">
        <v>467000000</v>
      </c>
      <c r="E168">
        <v>920000000</v>
      </c>
      <c r="F168">
        <v>425000000</v>
      </c>
      <c r="K168" t="s">
        <v>58</v>
      </c>
      <c r="L168">
        <v>-29006000</v>
      </c>
      <c r="M168">
        <v>-33158000</v>
      </c>
      <c r="N168">
        <v>-9017000</v>
      </c>
      <c r="O168">
        <v>-1542000</v>
      </c>
      <c r="P168">
        <v>-1677000</v>
      </c>
      <c r="V168" t="s">
        <v>400</v>
      </c>
      <c r="W168">
        <v>510000000</v>
      </c>
      <c r="X168">
        <v>516000000</v>
      </c>
      <c r="Y168">
        <v>719300000</v>
      </c>
      <c r="Z168">
        <v>877000000</v>
      </c>
      <c r="AA168">
        <v>975700000</v>
      </c>
    </row>
    <row r="169" spans="1:27" x14ac:dyDescent="0.2">
      <c r="A169" t="s">
        <v>90</v>
      </c>
      <c r="B169">
        <v>6000000</v>
      </c>
      <c r="C169">
        <v>3000000</v>
      </c>
      <c r="D169" t="s">
        <v>340</v>
      </c>
      <c r="E169">
        <v>500000000</v>
      </c>
      <c r="F169" t="s">
        <v>340</v>
      </c>
      <c r="K169" t="s">
        <v>60</v>
      </c>
      <c r="L169">
        <v>-965000</v>
      </c>
      <c r="M169">
        <v>-145000</v>
      </c>
      <c r="N169">
        <v>-2003000</v>
      </c>
      <c r="O169">
        <v>-2503000</v>
      </c>
      <c r="V169" t="s">
        <v>401</v>
      </c>
      <c r="W169">
        <v>21300000</v>
      </c>
      <c r="X169">
        <v>21100000</v>
      </c>
      <c r="Y169">
        <v>145200000</v>
      </c>
      <c r="Z169">
        <v>170800000</v>
      </c>
      <c r="AA169">
        <v>222500000</v>
      </c>
    </row>
    <row r="170" spans="1:27" x14ac:dyDescent="0.2">
      <c r="A170" t="s">
        <v>93</v>
      </c>
      <c r="E170">
        <v>500000000</v>
      </c>
      <c r="F170" t="s">
        <v>340</v>
      </c>
      <c r="K170" t="s">
        <v>59</v>
      </c>
      <c r="V170" t="s">
        <v>402</v>
      </c>
      <c r="W170">
        <v>488700000</v>
      </c>
      <c r="X170">
        <v>494900000</v>
      </c>
      <c r="Y170">
        <v>574100000</v>
      </c>
      <c r="Z170">
        <v>706200000</v>
      </c>
      <c r="AA170">
        <v>753200000</v>
      </c>
    </row>
    <row r="171" spans="1:27" x14ac:dyDescent="0.2">
      <c r="A171" t="s">
        <v>94</v>
      </c>
      <c r="C171">
        <v>445000000</v>
      </c>
      <c r="D171">
        <v>467000000</v>
      </c>
      <c r="E171">
        <v>420000000</v>
      </c>
      <c r="F171">
        <v>425000000</v>
      </c>
      <c r="K171" t="s">
        <v>54</v>
      </c>
      <c r="L171" t="s">
        <v>340</v>
      </c>
      <c r="N171" t="s">
        <v>340</v>
      </c>
      <c r="V171" t="s">
        <v>37</v>
      </c>
      <c r="W171">
        <v>91700000</v>
      </c>
      <c r="X171">
        <v>112000000</v>
      </c>
      <c r="Y171">
        <v>42100000</v>
      </c>
      <c r="Z171">
        <v>75100000</v>
      </c>
      <c r="AA171">
        <v>94800000</v>
      </c>
    </row>
    <row r="172" spans="1:27" x14ac:dyDescent="0.2">
      <c r="A172" t="s">
        <v>95</v>
      </c>
      <c r="B172">
        <v>341000000</v>
      </c>
      <c r="C172">
        <v>190000000</v>
      </c>
      <c r="K172" t="s">
        <v>410</v>
      </c>
      <c r="L172" t="s">
        <v>340</v>
      </c>
      <c r="N172" t="s">
        <v>340</v>
      </c>
      <c r="V172" t="s">
        <v>38</v>
      </c>
      <c r="W172">
        <v>24800000</v>
      </c>
      <c r="X172">
        <v>73400000</v>
      </c>
      <c r="Y172">
        <v>69100000</v>
      </c>
      <c r="Z172">
        <v>85500000</v>
      </c>
      <c r="AA172">
        <v>65700000</v>
      </c>
    </row>
    <row r="173" spans="1:27" x14ac:dyDescent="0.2">
      <c r="A173" t="s">
        <v>97</v>
      </c>
      <c r="B173">
        <v>2874000000</v>
      </c>
      <c r="C173">
        <v>3224000000</v>
      </c>
      <c r="D173">
        <v>2907000000</v>
      </c>
      <c r="E173">
        <v>2709000000</v>
      </c>
      <c r="F173">
        <v>3283000000</v>
      </c>
      <c r="K173" t="s">
        <v>76</v>
      </c>
      <c r="L173">
        <v>82379000</v>
      </c>
      <c r="M173">
        <v>23930000</v>
      </c>
      <c r="N173">
        <v>17812000</v>
      </c>
      <c r="O173">
        <v>186167000</v>
      </c>
      <c r="P173">
        <v>221033000</v>
      </c>
      <c r="V173" t="s">
        <v>39</v>
      </c>
      <c r="AA173">
        <v>189500000</v>
      </c>
    </row>
    <row r="174" spans="1:27" x14ac:dyDescent="0.2">
      <c r="A174" t="s">
        <v>98</v>
      </c>
      <c r="B174">
        <v>1656000000</v>
      </c>
      <c r="C174">
        <v>1641000000</v>
      </c>
      <c r="D174">
        <v>1472000000</v>
      </c>
      <c r="E174">
        <v>1297000000</v>
      </c>
      <c r="F174">
        <v>2289000000</v>
      </c>
      <c r="K174" t="s">
        <v>77</v>
      </c>
      <c r="L174">
        <v>88341000</v>
      </c>
      <c r="M174">
        <v>72876000</v>
      </c>
      <c r="N174">
        <v>75470000</v>
      </c>
      <c r="O174">
        <v>58356000</v>
      </c>
      <c r="P174">
        <v>91515000</v>
      </c>
      <c r="V174" t="s">
        <v>40</v>
      </c>
      <c r="W174">
        <v>-524900000</v>
      </c>
      <c r="X174">
        <v>-711000000</v>
      </c>
      <c r="Y174">
        <v>-906600000</v>
      </c>
      <c r="Z174">
        <v>-1141300000</v>
      </c>
      <c r="AA174">
        <v>-574400000</v>
      </c>
    </row>
    <row r="175" spans="1:27" x14ac:dyDescent="0.2">
      <c r="A175" t="s">
        <v>100</v>
      </c>
      <c r="B175">
        <v>1218000000</v>
      </c>
      <c r="C175">
        <v>1583000000</v>
      </c>
      <c r="D175">
        <v>1435000000</v>
      </c>
      <c r="E175">
        <v>1412000000</v>
      </c>
      <c r="F175">
        <v>994000000</v>
      </c>
      <c r="K175" t="s">
        <v>78</v>
      </c>
      <c r="L175">
        <v>2693444000</v>
      </c>
      <c r="M175">
        <v>3354635000</v>
      </c>
      <c r="N175">
        <v>2902402000</v>
      </c>
      <c r="O175">
        <v>2858680000</v>
      </c>
      <c r="P175">
        <v>2607448000</v>
      </c>
      <c r="V175" t="s">
        <v>41</v>
      </c>
      <c r="W175">
        <v>-524900000</v>
      </c>
      <c r="X175">
        <v>-711000000</v>
      </c>
      <c r="Y175">
        <v>-906600000</v>
      </c>
      <c r="Z175">
        <v>-1141300000</v>
      </c>
      <c r="AA175">
        <v>-574400000</v>
      </c>
    </row>
    <row r="176" spans="1:27" x14ac:dyDescent="0.2">
      <c r="A176" t="s">
        <v>105</v>
      </c>
      <c r="C176">
        <v>146000000</v>
      </c>
      <c r="K176" t="s">
        <v>79</v>
      </c>
      <c r="L176">
        <v>1422009000</v>
      </c>
      <c r="M176">
        <v>1413276000</v>
      </c>
      <c r="N176">
        <v>1450176000</v>
      </c>
      <c r="O176">
        <v>1356891000</v>
      </c>
      <c r="P176">
        <v>1165461000</v>
      </c>
      <c r="V176" t="s">
        <v>411</v>
      </c>
      <c r="W176">
        <v>-324900000</v>
      </c>
      <c r="X176">
        <v>-353200000</v>
      </c>
      <c r="Y176">
        <v>-410600000</v>
      </c>
      <c r="Z176">
        <v>-480500000</v>
      </c>
      <c r="AA176">
        <v>-518400000</v>
      </c>
    </row>
    <row r="177" spans="1:27" x14ac:dyDescent="0.2">
      <c r="A177" t="s">
        <v>106</v>
      </c>
      <c r="B177">
        <v>6811000000</v>
      </c>
      <c r="C177">
        <v>15003000000</v>
      </c>
      <c r="D177">
        <v>15299000000</v>
      </c>
      <c r="E177">
        <v>14310000000</v>
      </c>
      <c r="F177">
        <v>14271000000</v>
      </c>
      <c r="K177" t="s">
        <v>80</v>
      </c>
      <c r="L177">
        <v>992888000</v>
      </c>
      <c r="M177">
        <v>954813000</v>
      </c>
      <c r="N177">
        <v>1073472000</v>
      </c>
      <c r="O177">
        <v>1003759000</v>
      </c>
      <c r="P177">
        <v>771584000</v>
      </c>
      <c r="V177" t="s">
        <v>412</v>
      </c>
      <c r="W177">
        <v>-11500000</v>
      </c>
      <c r="X177">
        <v>-12800000</v>
      </c>
      <c r="Y177">
        <v>-19500000</v>
      </c>
      <c r="Z177">
        <v>-37300000</v>
      </c>
      <c r="AA177">
        <v>-49700000</v>
      </c>
    </row>
    <row r="178" spans="1:27" x14ac:dyDescent="0.2">
      <c r="A178" t="s">
        <v>107</v>
      </c>
      <c r="B178">
        <v>3464000000</v>
      </c>
      <c r="C178">
        <v>12319000000</v>
      </c>
      <c r="D178">
        <v>12344000000</v>
      </c>
      <c r="E178">
        <v>11697000000</v>
      </c>
      <c r="F178">
        <v>11713000000</v>
      </c>
      <c r="K178" t="s">
        <v>81</v>
      </c>
      <c r="L178">
        <v>618194000</v>
      </c>
      <c r="M178">
        <v>575954000</v>
      </c>
      <c r="N178">
        <v>613307000</v>
      </c>
      <c r="O178">
        <v>649116000</v>
      </c>
      <c r="P178">
        <v>483731000</v>
      </c>
      <c r="V178" t="s">
        <v>413</v>
      </c>
      <c r="W178">
        <v>-313400000</v>
      </c>
      <c r="X178">
        <v>-340400000</v>
      </c>
      <c r="Y178">
        <v>-391100000</v>
      </c>
      <c r="Z178">
        <v>-443200000</v>
      </c>
      <c r="AA178">
        <v>-468700000</v>
      </c>
    </row>
    <row r="179" spans="1:27" x14ac:dyDescent="0.2">
      <c r="A179" t="s">
        <v>108</v>
      </c>
      <c r="B179">
        <v>3464000000</v>
      </c>
      <c r="C179">
        <v>12319000000</v>
      </c>
      <c r="D179">
        <v>12344000000</v>
      </c>
      <c r="E179">
        <v>11697000000</v>
      </c>
      <c r="F179">
        <v>11713000000</v>
      </c>
      <c r="K179" t="s">
        <v>82</v>
      </c>
      <c r="L179">
        <v>618194000</v>
      </c>
      <c r="M179">
        <v>575954000</v>
      </c>
      <c r="N179">
        <v>613307000</v>
      </c>
      <c r="O179">
        <v>649116000</v>
      </c>
      <c r="P179">
        <v>483731000</v>
      </c>
      <c r="V179" t="s">
        <v>44</v>
      </c>
      <c r="Z179">
        <v>-100000</v>
      </c>
      <c r="AA179" t="s">
        <v>340</v>
      </c>
    </row>
    <row r="180" spans="1:27" x14ac:dyDescent="0.2">
      <c r="A180" t="s">
        <v>109</v>
      </c>
      <c r="B180">
        <v>3464000000</v>
      </c>
      <c r="C180">
        <v>9406000000</v>
      </c>
      <c r="D180">
        <v>9413000000</v>
      </c>
      <c r="E180">
        <v>8920000000</v>
      </c>
      <c r="F180">
        <v>8927000000</v>
      </c>
      <c r="K180" t="s">
        <v>84</v>
      </c>
      <c r="L180">
        <v>374694000</v>
      </c>
      <c r="M180">
        <v>378859000</v>
      </c>
      <c r="N180">
        <v>460165000</v>
      </c>
      <c r="O180">
        <v>354643000</v>
      </c>
      <c r="P180">
        <v>287853000</v>
      </c>
      <c r="V180" t="s">
        <v>45</v>
      </c>
      <c r="AA180">
        <v>-56000000</v>
      </c>
    </row>
    <row r="181" spans="1:27" x14ac:dyDescent="0.2">
      <c r="A181" t="s">
        <v>110</v>
      </c>
      <c r="D181">
        <v>9413000000</v>
      </c>
      <c r="E181">
        <v>8920000000</v>
      </c>
      <c r="F181">
        <v>8927000000</v>
      </c>
      <c r="K181" t="s">
        <v>85</v>
      </c>
      <c r="L181">
        <v>125900000</v>
      </c>
      <c r="M181">
        <v>162561000</v>
      </c>
      <c r="N181">
        <v>138664000</v>
      </c>
      <c r="O181">
        <v>140990000</v>
      </c>
      <c r="P181">
        <v>220250000</v>
      </c>
      <c r="V181" t="s">
        <v>42</v>
      </c>
      <c r="W181">
        <v>-193000000</v>
      </c>
      <c r="X181">
        <v>-342500000</v>
      </c>
      <c r="Y181">
        <v>-478800000</v>
      </c>
      <c r="Z181">
        <v>-642500000</v>
      </c>
    </row>
    <row r="182" spans="1:27" x14ac:dyDescent="0.2">
      <c r="A182" t="s">
        <v>114</v>
      </c>
      <c r="C182">
        <v>2913000000</v>
      </c>
      <c r="D182">
        <v>2931000000</v>
      </c>
      <c r="E182">
        <v>2777000000</v>
      </c>
      <c r="F182">
        <v>2786000000</v>
      </c>
      <c r="K182" t="s">
        <v>86</v>
      </c>
      <c r="L182">
        <v>125900000</v>
      </c>
      <c r="M182">
        <v>162561000</v>
      </c>
      <c r="N182">
        <v>138664000</v>
      </c>
      <c r="O182">
        <v>140990000</v>
      </c>
      <c r="P182">
        <v>220250000</v>
      </c>
      <c r="V182" t="s">
        <v>43</v>
      </c>
      <c r="W182">
        <v>-53400000</v>
      </c>
      <c r="X182">
        <v>-58300000</v>
      </c>
      <c r="Y182">
        <v>-47000000</v>
      </c>
      <c r="Z182">
        <v>-54500000</v>
      </c>
    </row>
    <row r="183" spans="1:27" x14ac:dyDescent="0.2">
      <c r="A183" t="s">
        <v>129</v>
      </c>
      <c r="B183">
        <v>3347000000</v>
      </c>
      <c r="C183">
        <v>2684000000</v>
      </c>
      <c r="D183">
        <v>2955000000</v>
      </c>
      <c r="E183">
        <v>2613000000</v>
      </c>
      <c r="F183">
        <v>2558000000</v>
      </c>
      <c r="K183" t="s">
        <v>89</v>
      </c>
      <c r="L183">
        <v>125900000</v>
      </c>
      <c r="M183">
        <v>162561000</v>
      </c>
      <c r="N183">
        <v>138664000</v>
      </c>
      <c r="O183">
        <v>140990000</v>
      </c>
      <c r="P183">
        <v>220250000</v>
      </c>
      <c r="V183" t="s">
        <v>414</v>
      </c>
      <c r="W183">
        <v>-139600000</v>
      </c>
      <c r="X183">
        <v>-284200000</v>
      </c>
      <c r="Y183">
        <v>-431800000</v>
      </c>
      <c r="Z183">
        <v>-588000000</v>
      </c>
    </row>
    <row r="184" spans="1:27" x14ac:dyDescent="0.2">
      <c r="A184" t="s">
        <v>415</v>
      </c>
      <c r="B184" t="s">
        <v>340</v>
      </c>
      <c r="E184" t="s">
        <v>340</v>
      </c>
      <c r="F184" t="s">
        <v>340</v>
      </c>
      <c r="K184" t="s">
        <v>90</v>
      </c>
      <c r="L184" t="s">
        <v>340</v>
      </c>
      <c r="P184">
        <v>80919000</v>
      </c>
      <c r="V184" t="s">
        <v>416</v>
      </c>
      <c r="W184">
        <v>-7000000</v>
      </c>
      <c r="X184">
        <v>-15300000</v>
      </c>
      <c r="Y184">
        <v>-17200000</v>
      </c>
      <c r="Z184">
        <v>-18200000</v>
      </c>
    </row>
    <row r="185" spans="1:27" x14ac:dyDescent="0.2">
      <c r="A185" t="s">
        <v>130</v>
      </c>
      <c r="B185">
        <v>9040000000</v>
      </c>
      <c r="C185">
        <v>8055000000</v>
      </c>
      <c r="D185">
        <v>12767000000</v>
      </c>
      <c r="E185">
        <v>15281000000</v>
      </c>
      <c r="F185">
        <v>14004000000</v>
      </c>
      <c r="K185" t="s">
        <v>91</v>
      </c>
      <c r="P185">
        <v>80919000</v>
      </c>
      <c r="V185" t="s">
        <v>46</v>
      </c>
      <c r="W185">
        <v>454600000</v>
      </c>
      <c r="X185">
        <v>443500000</v>
      </c>
      <c r="Y185">
        <v>471900000</v>
      </c>
      <c r="Z185">
        <v>506500000</v>
      </c>
      <c r="AA185">
        <v>530800000</v>
      </c>
    </row>
    <row r="186" spans="1:27" x14ac:dyDescent="0.2">
      <c r="A186" t="s">
        <v>131</v>
      </c>
      <c r="B186">
        <v>9040000000</v>
      </c>
      <c r="C186">
        <v>8055000000</v>
      </c>
      <c r="D186">
        <v>12767000000</v>
      </c>
      <c r="E186">
        <v>15281000000</v>
      </c>
      <c r="F186">
        <v>14004000000</v>
      </c>
      <c r="K186" t="s">
        <v>94</v>
      </c>
      <c r="L186">
        <v>125900000</v>
      </c>
      <c r="M186">
        <v>162561000</v>
      </c>
      <c r="N186">
        <v>138664000</v>
      </c>
      <c r="O186">
        <v>140990000</v>
      </c>
      <c r="P186">
        <v>139331000</v>
      </c>
      <c r="V186" t="s">
        <v>47</v>
      </c>
      <c r="W186">
        <v>654900000</v>
      </c>
      <c r="X186">
        <v>662500000</v>
      </c>
      <c r="Y186">
        <v>711400000</v>
      </c>
      <c r="Z186">
        <v>781200000</v>
      </c>
      <c r="AA186">
        <v>829100000</v>
      </c>
    </row>
    <row r="187" spans="1:27" x14ac:dyDescent="0.2">
      <c r="A187" t="s">
        <v>132</v>
      </c>
      <c r="B187">
        <v>7166000000</v>
      </c>
      <c r="C187">
        <v>8302000000</v>
      </c>
      <c r="D187">
        <v>9968000000</v>
      </c>
      <c r="E187">
        <v>11487000000</v>
      </c>
      <c r="F187">
        <v>12415000000</v>
      </c>
      <c r="K187" t="s">
        <v>87</v>
      </c>
      <c r="V187" t="s">
        <v>48</v>
      </c>
      <c r="W187">
        <v>294600000</v>
      </c>
      <c r="X187">
        <v>288300000</v>
      </c>
      <c r="Y187">
        <v>291500000</v>
      </c>
      <c r="Z187">
        <v>289300000</v>
      </c>
      <c r="AA187">
        <v>285300000</v>
      </c>
    </row>
    <row r="188" spans="1:27" x14ac:dyDescent="0.2">
      <c r="A188" t="s">
        <v>133</v>
      </c>
      <c r="B188">
        <v>7166000000</v>
      </c>
      <c r="C188">
        <v>8302000000</v>
      </c>
      <c r="D188">
        <v>9968000000</v>
      </c>
      <c r="E188">
        <v>11487000000</v>
      </c>
      <c r="F188">
        <v>12415000000</v>
      </c>
      <c r="K188" t="s">
        <v>417</v>
      </c>
      <c r="V188" t="s">
        <v>49</v>
      </c>
      <c r="W188">
        <v>360300000</v>
      </c>
      <c r="X188">
        <v>374200000</v>
      </c>
      <c r="Y188">
        <v>419800000</v>
      </c>
      <c r="Z188">
        <v>492000000</v>
      </c>
      <c r="AA188">
        <v>543800000</v>
      </c>
    </row>
    <row r="189" spans="1:27" x14ac:dyDescent="0.2">
      <c r="A189" t="s">
        <v>134</v>
      </c>
      <c r="B189">
        <v>3000000</v>
      </c>
      <c r="C189">
        <v>3000000</v>
      </c>
      <c r="D189">
        <v>3000000</v>
      </c>
      <c r="E189">
        <v>3000000</v>
      </c>
      <c r="F189">
        <v>3000000</v>
      </c>
      <c r="K189" t="s">
        <v>97</v>
      </c>
      <c r="L189">
        <v>219424000</v>
      </c>
      <c r="M189">
        <v>203399000</v>
      </c>
      <c r="N189">
        <v>164294000</v>
      </c>
      <c r="O189">
        <v>160533000</v>
      </c>
      <c r="P189">
        <v>139283000</v>
      </c>
      <c r="V189" t="s">
        <v>50</v>
      </c>
      <c r="W189">
        <v>360300000</v>
      </c>
      <c r="X189">
        <v>374200000</v>
      </c>
      <c r="Y189">
        <v>419800000</v>
      </c>
      <c r="Z189">
        <v>492000000</v>
      </c>
      <c r="AA189">
        <v>543800000</v>
      </c>
    </row>
    <row r="190" spans="1:27" x14ac:dyDescent="0.2">
      <c r="A190" t="s">
        <v>135</v>
      </c>
      <c r="B190">
        <v>7163000000</v>
      </c>
      <c r="C190">
        <v>8299000000</v>
      </c>
      <c r="D190">
        <v>9965000000</v>
      </c>
      <c r="E190">
        <v>11484000000</v>
      </c>
      <c r="F190">
        <v>12412000000</v>
      </c>
      <c r="K190" t="s">
        <v>100</v>
      </c>
      <c r="L190">
        <v>219424000</v>
      </c>
      <c r="M190">
        <v>203399000</v>
      </c>
      <c r="N190">
        <v>164294000</v>
      </c>
      <c r="O190">
        <v>160533000</v>
      </c>
      <c r="P190">
        <v>139283000</v>
      </c>
      <c r="V190" t="s">
        <v>53</v>
      </c>
      <c r="W190">
        <v>-200400000</v>
      </c>
      <c r="X190">
        <v>-219100000</v>
      </c>
      <c r="Y190">
        <v>-239600000</v>
      </c>
      <c r="Z190">
        <v>-274700000</v>
      </c>
      <c r="AA190">
        <v>-298200000</v>
      </c>
    </row>
    <row r="191" spans="1:27" x14ac:dyDescent="0.2">
      <c r="A191" t="s">
        <v>136</v>
      </c>
      <c r="B191">
        <v>1643000000</v>
      </c>
      <c r="C191">
        <v>-191000000</v>
      </c>
      <c r="D191">
        <v>3179000000</v>
      </c>
      <c r="E191">
        <v>3476000000</v>
      </c>
      <c r="F191">
        <v>1358000000</v>
      </c>
      <c r="K191" t="s">
        <v>104</v>
      </c>
      <c r="L191">
        <v>83797000</v>
      </c>
      <c r="M191">
        <v>92503000</v>
      </c>
      <c r="N191">
        <v>73746000</v>
      </c>
      <c r="O191">
        <v>51609000</v>
      </c>
      <c r="P191">
        <v>34344000</v>
      </c>
      <c r="V191" t="s">
        <v>56</v>
      </c>
      <c r="W191">
        <v>-200400000</v>
      </c>
      <c r="X191">
        <v>-219100000</v>
      </c>
      <c r="Y191">
        <v>-239600000</v>
      </c>
      <c r="Z191">
        <v>-274700000</v>
      </c>
      <c r="AA191">
        <v>-298200000</v>
      </c>
    </row>
    <row r="192" spans="1:27" x14ac:dyDescent="0.2">
      <c r="A192" t="s">
        <v>137</v>
      </c>
      <c r="B192">
        <v>231000000</v>
      </c>
      <c r="C192">
        <v>-56000000</v>
      </c>
      <c r="D192">
        <v>-380000000</v>
      </c>
      <c r="E192">
        <v>318000000</v>
      </c>
      <c r="F192">
        <v>231000000</v>
      </c>
      <c r="K192" t="s">
        <v>106</v>
      </c>
      <c r="L192">
        <v>1271435000</v>
      </c>
      <c r="M192">
        <v>1941359000</v>
      </c>
      <c r="N192">
        <v>1452226000</v>
      </c>
      <c r="O192">
        <v>1501789000</v>
      </c>
      <c r="P192">
        <v>1441987000</v>
      </c>
      <c r="V192" t="s">
        <v>418</v>
      </c>
      <c r="W192">
        <v>-44900000</v>
      </c>
      <c r="X192">
        <v>-46800000</v>
      </c>
      <c r="Y192">
        <v>-46800000</v>
      </c>
      <c r="Z192">
        <v>-46600000</v>
      </c>
      <c r="AA192">
        <v>-46300000</v>
      </c>
    </row>
    <row r="193" spans="1:27" x14ac:dyDescent="0.2">
      <c r="A193" t="s">
        <v>138</v>
      </c>
      <c r="B193">
        <v>231000000</v>
      </c>
      <c r="C193">
        <v>-56000000</v>
      </c>
      <c r="D193">
        <v>-380000000</v>
      </c>
      <c r="E193">
        <v>318000000</v>
      </c>
      <c r="F193">
        <v>231000000</v>
      </c>
      <c r="K193" t="s">
        <v>107</v>
      </c>
      <c r="L193">
        <v>1173322000</v>
      </c>
      <c r="M193">
        <v>1842970000</v>
      </c>
      <c r="N193">
        <v>1365642000</v>
      </c>
      <c r="O193">
        <v>1380191000</v>
      </c>
      <c r="P193">
        <v>1222538000</v>
      </c>
      <c r="V193" t="s">
        <v>57</v>
      </c>
      <c r="W193">
        <v>-155500000</v>
      </c>
      <c r="X193">
        <v>-172300000</v>
      </c>
      <c r="Y193">
        <v>-192800000</v>
      </c>
      <c r="Z193">
        <v>-228100000</v>
      </c>
      <c r="AA193">
        <v>-252100000</v>
      </c>
    </row>
    <row r="194" spans="1:27" x14ac:dyDescent="0.2">
      <c r="A194" t="s">
        <v>142</v>
      </c>
      <c r="B194">
        <v>3479000000</v>
      </c>
      <c r="C194">
        <v>9657000000</v>
      </c>
      <c r="D194">
        <v>14163000000</v>
      </c>
      <c r="E194">
        <v>3500000000</v>
      </c>
      <c r="F194">
        <v>3000000000</v>
      </c>
      <c r="K194" t="s">
        <v>108</v>
      </c>
      <c r="L194">
        <v>1173322000</v>
      </c>
      <c r="M194">
        <v>1842970000</v>
      </c>
      <c r="N194">
        <v>1365642000</v>
      </c>
      <c r="O194">
        <v>1380191000</v>
      </c>
      <c r="P194">
        <v>1222538000</v>
      </c>
      <c r="V194" t="s">
        <v>58</v>
      </c>
      <c r="W194">
        <v>-155500000</v>
      </c>
      <c r="X194">
        <v>-172300000</v>
      </c>
      <c r="Y194">
        <v>-192800000</v>
      </c>
      <c r="Z194">
        <v>-228100000</v>
      </c>
      <c r="AA194">
        <v>-252100000</v>
      </c>
    </row>
    <row r="195" spans="1:27" x14ac:dyDescent="0.2">
      <c r="A195" t="s">
        <v>143</v>
      </c>
      <c r="B195">
        <v>124000000</v>
      </c>
      <c r="C195">
        <v>537000000</v>
      </c>
      <c r="D195">
        <v>286000000</v>
      </c>
      <c r="E195">
        <v>500000000</v>
      </c>
      <c r="F195" t="s">
        <v>340</v>
      </c>
      <c r="K195" t="s">
        <v>109</v>
      </c>
      <c r="L195">
        <v>592687000</v>
      </c>
      <c r="M195">
        <v>1003556000</v>
      </c>
      <c r="N195">
        <v>662531000</v>
      </c>
      <c r="O195">
        <v>674478000</v>
      </c>
      <c r="P195">
        <v>594873000</v>
      </c>
      <c r="V195" t="s">
        <v>61</v>
      </c>
      <c r="W195">
        <v>70100000</v>
      </c>
      <c r="X195">
        <v>56200000</v>
      </c>
      <c r="Y195">
        <v>57800000</v>
      </c>
      <c r="Z195">
        <v>55900000</v>
      </c>
      <c r="AA195">
        <v>56900000</v>
      </c>
    </row>
    <row r="196" spans="1:27" x14ac:dyDescent="0.2">
      <c r="A196" t="s">
        <v>144</v>
      </c>
      <c r="B196">
        <v>112000000</v>
      </c>
      <c r="C196">
        <v>286000000</v>
      </c>
      <c r="D196">
        <v>786000000</v>
      </c>
      <c r="E196" t="s">
        <v>340</v>
      </c>
      <c r="F196">
        <v>1000000000</v>
      </c>
      <c r="K196" t="s">
        <v>110</v>
      </c>
      <c r="N196">
        <v>596468000</v>
      </c>
      <c r="O196">
        <v>597458000</v>
      </c>
      <c r="P196">
        <v>598251000</v>
      </c>
      <c r="V196" t="s">
        <v>62</v>
      </c>
      <c r="W196">
        <v>30100000</v>
      </c>
      <c r="X196">
        <v>30900000</v>
      </c>
      <c r="Y196">
        <v>32600000</v>
      </c>
      <c r="Z196">
        <v>34200000</v>
      </c>
      <c r="AA196">
        <v>35700000</v>
      </c>
    </row>
    <row r="197" spans="1:27" x14ac:dyDescent="0.2">
      <c r="A197" t="s">
        <v>145</v>
      </c>
      <c r="B197">
        <v>109000000</v>
      </c>
      <c r="C197">
        <v>786000000</v>
      </c>
      <c r="D197">
        <v>275000000</v>
      </c>
      <c r="E197">
        <v>1000000000</v>
      </c>
      <c r="F197">
        <v>2000000000</v>
      </c>
      <c r="K197" t="s">
        <v>111</v>
      </c>
      <c r="N197">
        <v>70933000</v>
      </c>
      <c r="O197">
        <v>80652000</v>
      </c>
      <c r="P197">
        <v>-16000</v>
      </c>
      <c r="V197" t="s">
        <v>65</v>
      </c>
      <c r="W197">
        <v>30100000</v>
      </c>
      <c r="X197">
        <v>30900000</v>
      </c>
      <c r="Y197">
        <v>32600000</v>
      </c>
      <c r="Z197">
        <v>34200000</v>
      </c>
      <c r="AA197">
        <v>35700000</v>
      </c>
    </row>
    <row r="198" spans="1:27" x14ac:dyDescent="0.2">
      <c r="A198" t="s">
        <v>146</v>
      </c>
      <c r="B198">
        <v>609000000</v>
      </c>
      <c r="C198">
        <v>275000000</v>
      </c>
      <c r="D198">
        <v>1275000000</v>
      </c>
      <c r="E198" t="s">
        <v>340</v>
      </c>
      <c r="F198" t="s">
        <v>340</v>
      </c>
      <c r="K198" t="s">
        <v>112</v>
      </c>
      <c r="N198">
        <v>-4870000</v>
      </c>
      <c r="O198">
        <v>-3632000</v>
      </c>
      <c r="P198">
        <v>-3362000</v>
      </c>
      <c r="V198" t="s">
        <v>69</v>
      </c>
      <c r="W198">
        <v>40000000</v>
      </c>
      <c r="X198">
        <v>25300000</v>
      </c>
      <c r="Y198">
        <v>25200000</v>
      </c>
      <c r="Z198">
        <v>21700000</v>
      </c>
      <c r="AA198">
        <v>21200000</v>
      </c>
    </row>
    <row r="199" spans="1:27" x14ac:dyDescent="0.2">
      <c r="A199" t="s">
        <v>147</v>
      </c>
      <c r="B199">
        <v>98000000</v>
      </c>
      <c r="C199">
        <v>1275000000</v>
      </c>
      <c r="D199">
        <v>251000000</v>
      </c>
      <c r="E199">
        <v>2000000000</v>
      </c>
      <c r="K199" t="s">
        <v>113</v>
      </c>
      <c r="V199" t="s">
        <v>419</v>
      </c>
    </row>
    <row r="200" spans="1:27" x14ac:dyDescent="0.2">
      <c r="A200" t="s">
        <v>148</v>
      </c>
      <c r="B200">
        <v>4617000000</v>
      </c>
      <c r="C200">
        <v>11541000000</v>
      </c>
      <c r="D200">
        <v>11290000000</v>
      </c>
      <c r="K200" t="s">
        <v>114</v>
      </c>
      <c r="L200">
        <v>580635000</v>
      </c>
      <c r="M200">
        <v>839414000</v>
      </c>
      <c r="N200">
        <v>703111000</v>
      </c>
      <c r="O200">
        <v>705713000</v>
      </c>
      <c r="P200">
        <v>627665000</v>
      </c>
      <c r="V200" t="s">
        <v>420</v>
      </c>
    </row>
    <row r="201" spans="1:27" x14ac:dyDescent="0.2">
      <c r="A201" t="s">
        <v>149</v>
      </c>
      <c r="B201">
        <v>-2190000000</v>
      </c>
      <c r="C201">
        <v>-5043000000</v>
      </c>
      <c r="K201" t="s">
        <v>129</v>
      </c>
      <c r="L201">
        <v>98113000</v>
      </c>
      <c r="M201">
        <v>98389000</v>
      </c>
      <c r="N201">
        <v>86584000</v>
      </c>
      <c r="O201">
        <v>121598000</v>
      </c>
      <c r="P201">
        <v>219449000</v>
      </c>
      <c r="V201" t="s">
        <v>70</v>
      </c>
      <c r="W201">
        <v>1300000</v>
      </c>
      <c r="X201">
        <v>2500000</v>
      </c>
      <c r="Y201">
        <v>6800000</v>
      </c>
      <c r="Z201">
        <v>2500000</v>
      </c>
      <c r="AA201">
        <v>1400000</v>
      </c>
    </row>
    <row r="202" spans="1:27" x14ac:dyDescent="0.2">
      <c r="A202" t="s">
        <v>155</v>
      </c>
      <c r="B202">
        <v>3732000000</v>
      </c>
      <c r="C202">
        <v>3358000000</v>
      </c>
      <c r="D202">
        <v>3398000000</v>
      </c>
      <c r="E202">
        <v>3197000000</v>
      </c>
      <c r="F202">
        <v>3211000000</v>
      </c>
      <c r="K202" t="s">
        <v>130</v>
      </c>
      <c r="L202">
        <v>2150087000</v>
      </c>
      <c r="M202">
        <v>1675993000</v>
      </c>
      <c r="N202">
        <v>2088994000</v>
      </c>
      <c r="O202">
        <v>1998403000</v>
      </c>
      <c r="P202">
        <v>2153286000</v>
      </c>
      <c r="V202" t="s">
        <v>71</v>
      </c>
      <c r="AA202">
        <v>25300000</v>
      </c>
    </row>
    <row r="203" spans="1:27" x14ac:dyDescent="0.2">
      <c r="A203" t="s">
        <v>156</v>
      </c>
      <c r="B203">
        <v>553000000</v>
      </c>
      <c r="C203">
        <v>550000000</v>
      </c>
      <c r="D203">
        <v>534000000</v>
      </c>
      <c r="E203">
        <v>491000000</v>
      </c>
      <c r="F203">
        <v>506000000</v>
      </c>
      <c r="K203" t="s">
        <v>131</v>
      </c>
      <c r="L203">
        <v>2150087000</v>
      </c>
      <c r="M203">
        <v>1675993000</v>
      </c>
      <c r="N203">
        <v>2088994000</v>
      </c>
      <c r="O203">
        <v>1998403000</v>
      </c>
      <c r="P203">
        <v>2153286000</v>
      </c>
      <c r="V203" t="s">
        <v>421</v>
      </c>
      <c r="AA203">
        <v>25300000</v>
      </c>
    </row>
    <row r="204" spans="1:27" x14ac:dyDescent="0.2">
      <c r="A204" t="s">
        <v>422</v>
      </c>
      <c r="B204">
        <v>513000000</v>
      </c>
      <c r="C204">
        <v>514000000</v>
      </c>
      <c r="D204">
        <v>530000000</v>
      </c>
      <c r="E204">
        <v>543000000</v>
      </c>
      <c r="F204">
        <v>562000000</v>
      </c>
      <c r="K204" t="s">
        <v>132</v>
      </c>
      <c r="L204">
        <v>973866000</v>
      </c>
      <c r="M204">
        <v>1061323000</v>
      </c>
      <c r="N204">
        <v>1108771000</v>
      </c>
      <c r="O204">
        <v>1136683000</v>
      </c>
      <c r="P204">
        <v>1181998000</v>
      </c>
      <c r="V204" t="s">
        <v>72</v>
      </c>
    </row>
    <row r="205" spans="1:27" x14ac:dyDescent="0.2">
      <c r="A205" t="s">
        <v>423</v>
      </c>
      <c r="B205">
        <v>441000000</v>
      </c>
      <c r="C205">
        <v>456000000</v>
      </c>
      <c r="D205">
        <v>490000000</v>
      </c>
      <c r="E205">
        <v>490000000</v>
      </c>
      <c r="F205">
        <v>490000000</v>
      </c>
      <c r="K205" t="s">
        <v>133</v>
      </c>
      <c r="L205">
        <v>973866000</v>
      </c>
      <c r="M205">
        <v>1061323000</v>
      </c>
      <c r="N205">
        <v>1108771000</v>
      </c>
      <c r="O205">
        <v>1136683000</v>
      </c>
      <c r="P205">
        <v>1181998000</v>
      </c>
      <c r="V205" t="s">
        <v>76</v>
      </c>
      <c r="W205">
        <v>237700000</v>
      </c>
      <c r="X205">
        <v>277500000</v>
      </c>
      <c r="Y205">
        <v>279900000</v>
      </c>
      <c r="Z205">
        <v>295000000</v>
      </c>
      <c r="AA205">
        <v>296100000</v>
      </c>
    </row>
    <row r="206" spans="1:27" x14ac:dyDescent="0.2">
      <c r="A206" t="s">
        <v>424</v>
      </c>
      <c r="B206">
        <v>386000000</v>
      </c>
      <c r="C206">
        <v>416000000</v>
      </c>
      <c r="D206">
        <v>437000000</v>
      </c>
      <c r="E206">
        <v>405000000</v>
      </c>
      <c r="F206">
        <v>436000000</v>
      </c>
      <c r="K206" t="s">
        <v>134</v>
      </c>
      <c r="L206">
        <v>149000</v>
      </c>
      <c r="M206">
        <v>150000</v>
      </c>
      <c r="N206">
        <v>158000</v>
      </c>
      <c r="O206">
        <v>147000</v>
      </c>
      <c r="P206">
        <v>144000</v>
      </c>
      <c r="V206" t="s">
        <v>77</v>
      </c>
      <c r="W206">
        <v>19300000</v>
      </c>
      <c r="X206">
        <v>6800000</v>
      </c>
      <c r="Y206">
        <v>9100000</v>
      </c>
      <c r="Z206">
        <v>8800000</v>
      </c>
      <c r="AA206">
        <v>25600000</v>
      </c>
    </row>
    <row r="207" spans="1:27" x14ac:dyDescent="0.2">
      <c r="A207" t="s">
        <v>157</v>
      </c>
      <c r="B207">
        <v>345000000</v>
      </c>
      <c r="C207">
        <v>374000000</v>
      </c>
      <c r="D207">
        <v>357000000</v>
      </c>
      <c r="E207">
        <v>350000000</v>
      </c>
      <c r="F207">
        <v>369000000</v>
      </c>
      <c r="K207" t="s">
        <v>135</v>
      </c>
      <c r="L207">
        <v>973717000</v>
      </c>
      <c r="M207">
        <v>1061173000</v>
      </c>
      <c r="N207">
        <v>1108613000</v>
      </c>
      <c r="O207">
        <v>1136536000</v>
      </c>
      <c r="P207">
        <v>1181854000</v>
      </c>
      <c r="V207" t="s">
        <v>78</v>
      </c>
      <c r="W207">
        <v>2457900000</v>
      </c>
      <c r="X207">
        <v>2920200000</v>
      </c>
      <c r="Y207">
        <v>3449800000</v>
      </c>
      <c r="Z207">
        <v>4233900000</v>
      </c>
      <c r="AA207">
        <v>4058100000</v>
      </c>
    </row>
    <row r="208" spans="1:27" x14ac:dyDescent="0.2">
      <c r="A208" t="s">
        <v>158</v>
      </c>
      <c r="B208">
        <v>1494000000</v>
      </c>
      <c r="C208">
        <v>1474000000</v>
      </c>
      <c r="D208">
        <v>1397000000</v>
      </c>
      <c r="E208">
        <v>1250000000</v>
      </c>
      <c r="F208">
        <v>1225000000</v>
      </c>
      <c r="K208" t="s">
        <v>136</v>
      </c>
      <c r="L208">
        <v>1226986000</v>
      </c>
      <c r="M208">
        <v>673855000</v>
      </c>
      <c r="N208">
        <v>1027833000</v>
      </c>
      <c r="O208">
        <v>929562000</v>
      </c>
      <c r="P208">
        <v>1048411000</v>
      </c>
      <c r="V208" t="s">
        <v>79</v>
      </c>
      <c r="W208">
        <v>1558900000</v>
      </c>
      <c r="X208">
        <v>1872800000</v>
      </c>
      <c r="Y208">
        <v>2164500000</v>
      </c>
      <c r="Z208">
        <v>2843000000</v>
      </c>
      <c r="AA208">
        <v>2537200000</v>
      </c>
    </row>
    <row r="209" spans="1:27" x14ac:dyDescent="0.2">
      <c r="A209" t="s">
        <v>158</v>
      </c>
      <c r="C209">
        <v>-426000000</v>
      </c>
      <c r="D209">
        <v>-347000000</v>
      </c>
      <c r="E209">
        <v>-332000000</v>
      </c>
      <c r="F209">
        <v>-377000000</v>
      </c>
      <c r="K209" t="s">
        <v>137</v>
      </c>
      <c r="L209">
        <v>-50765000</v>
      </c>
      <c r="M209">
        <v>-59185000</v>
      </c>
      <c r="N209">
        <v>-47610000</v>
      </c>
      <c r="O209">
        <v>-67842000</v>
      </c>
      <c r="P209">
        <v>-77123000</v>
      </c>
      <c r="V209" t="s">
        <v>80</v>
      </c>
      <c r="W209">
        <v>932600000</v>
      </c>
      <c r="X209">
        <v>1030700000</v>
      </c>
      <c r="Y209">
        <v>1262100000</v>
      </c>
      <c r="Z209">
        <v>1821700000</v>
      </c>
      <c r="AA209">
        <v>1579100000</v>
      </c>
    </row>
    <row r="210" spans="1:27" x14ac:dyDescent="0.2">
      <c r="A210" t="s">
        <v>166</v>
      </c>
      <c r="B210">
        <v>4106000000</v>
      </c>
      <c r="C210">
        <v>3358000000</v>
      </c>
      <c r="D210">
        <v>3398000000</v>
      </c>
      <c r="E210">
        <v>3197000000</v>
      </c>
      <c r="F210">
        <v>3211000000</v>
      </c>
      <c r="K210" t="s">
        <v>138</v>
      </c>
      <c r="L210">
        <v>-50765000</v>
      </c>
      <c r="M210">
        <v>-59185000</v>
      </c>
      <c r="N210">
        <v>-47610000</v>
      </c>
      <c r="O210">
        <v>-67842000</v>
      </c>
      <c r="P210">
        <v>-77123000</v>
      </c>
      <c r="V210" t="s">
        <v>81</v>
      </c>
      <c r="W210">
        <v>932600000</v>
      </c>
      <c r="X210">
        <v>1030700000</v>
      </c>
      <c r="Y210">
        <v>1262100000</v>
      </c>
      <c r="Z210">
        <v>1821700000</v>
      </c>
      <c r="AA210">
        <v>1579100000</v>
      </c>
    </row>
    <row r="211" spans="1:27" x14ac:dyDescent="0.2">
      <c r="A211" t="s">
        <v>167</v>
      </c>
      <c r="B211">
        <v>585000000</v>
      </c>
      <c r="C211">
        <v>550000000</v>
      </c>
      <c r="D211">
        <v>534000000</v>
      </c>
      <c r="E211">
        <v>491000000</v>
      </c>
      <c r="F211">
        <v>506000000</v>
      </c>
      <c r="K211" t="s">
        <v>142</v>
      </c>
      <c r="L211">
        <v>592687000</v>
      </c>
      <c r="M211">
        <v>1226750000</v>
      </c>
      <c r="N211">
        <v>662531000</v>
      </c>
      <c r="O211">
        <v>674478000</v>
      </c>
      <c r="P211">
        <v>675792000</v>
      </c>
      <c r="V211" t="s">
        <v>82</v>
      </c>
      <c r="W211">
        <v>843700000</v>
      </c>
      <c r="X211">
        <v>941500000</v>
      </c>
      <c r="Y211">
        <v>1176400000</v>
      </c>
      <c r="Z211">
        <v>1734900000</v>
      </c>
      <c r="AA211">
        <v>1499800000</v>
      </c>
    </row>
    <row r="212" spans="1:27" x14ac:dyDescent="0.2">
      <c r="A212" t="s">
        <v>425</v>
      </c>
      <c r="B212">
        <v>547000000</v>
      </c>
      <c r="C212">
        <v>514000000</v>
      </c>
      <c r="D212">
        <v>530000000</v>
      </c>
      <c r="E212">
        <v>543000000</v>
      </c>
      <c r="F212">
        <v>562000000</v>
      </c>
      <c r="K212" t="s">
        <v>143</v>
      </c>
      <c r="L212">
        <v>19500000</v>
      </c>
      <c r="M212">
        <v>19500000</v>
      </c>
      <c r="O212">
        <v>20714000</v>
      </c>
      <c r="P212">
        <v>80919000</v>
      </c>
      <c r="V212" t="s">
        <v>83</v>
      </c>
      <c r="W212">
        <v>88900000</v>
      </c>
      <c r="X212">
        <v>89200000</v>
      </c>
      <c r="Y212">
        <v>85700000</v>
      </c>
      <c r="Z212">
        <v>86800000</v>
      </c>
      <c r="AA212">
        <v>79300000</v>
      </c>
    </row>
    <row r="213" spans="1:27" x14ac:dyDescent="0.2">
      <c r="A213" t="s">
        <v>426</v>
      </c>
      <c r="B213">
        <v>481000000</v>
      </c>
      <c r="C213">
        <v>456000000</v>
      </c>
      <c r="D213">
        <v>490000000</v>
      </c>
      <c r="E213">
        <v>490000000</v>
      </c>
      <c r="F213">
        <v>490000000</v>
      </c>
      <c r="K213" t="s">
        <v>145</v>
      </c>
      <c r="L213">
        <v>39000000</v>
      </c>
      <c r="M213">
        <v>39000000</v>
      </c>
      <c r="N213">
        <v>80919000</v>
      </c>
      <c r="O213">
        <v>120526000</v>
      </c>
      <c r="P213">
        <v>600000000</v>
      </c>
      <c r="V213" t="s">
        <v>85</v>
      </c>
      <c r="W213">
        <v>215500000</v>
      </c>
      <c r="X213">
        <v>429000000</v>
      </c>
      <c r="Y213">
        <v>305200000</v>
      </c>
      <c r="Z213">
        <v>352200000</v>
      </c>
      <c r="AA213">
        <v>436900000</v>
      </c>
    </row>
    <row r="214" spans="1:27" x14ac:dyDescent="0.2">
      <c r="A214" t="s">
        <v>427</v>
      </c>
      <c r="B214">
        <v>423000000</v>
      </c>
      <c r="C214">
        <v>416000000</v>
      </c>
      <c r="D214">
        <v>437000000</v>
      </c>
      <c r="E214">
        <v>405000000</v>
      </c>
      <c r="F214">
        <v>436000000</v>
      </c>
      <c r="K214" t="s">
        <v>149</v>
      </c>
      <c r="L214">
        <v>-134063000</v>
      </c>
      <c r="N214">
        <v>-18388000</v>
      </c>
      <c r="O214">
        <v>-76512000</v>
      </c>
      <c r="P214">
        <v>-5127000</v>
      </c>
      <c r="V214" t="s">
        <v>86</v>
      </c>
      <c r="W214">
        <v>155000000</v>
      </c>
      <c r="X214">
        <v>156500000</v>
      </c>
      <c r="Y214">
        <v>240800000</v>
      </c>
      <c r="Z214">
        <v>260200000</v>
      </c>
      <c r="AA214">
        <v>358300000</v>
      </c>
    </row>
    <row r="215" spans="1:27" x14ac:dyDescent="0.2">
      <c r="A215" t="s">
        <v>168</v>
      </c>
      <c r="B215">
        <v>379000000</v>
      </c>
      <c r="C215">
        <v>374000000</v>
      </c>
      <c r="D215">
        <v>357000000</v>
      </c>
      <c r="E215">
        <v>350000000</v>
      </c>
      <c r="F215">
        <v>369000000</v>
      </c>
      <c r="K215" t="s">
        <v>147</v>
      </c>
      <c r="L215">
        <v>39000000</v>
      </c>
      <c r="M215">
        <v>539000000</v>
      </c>
      <c r="N215">
        <v>600000000</v>
      </c>
      <c r="O215">
        <v>609750000</v>
      </c>
      <c r="V215" t="s">
        <v>89</v>
      </c>
      <c r="W215">
        <v>144800000</v>
      </c>
      <c r="X215">
        <v>156500000</v>
      </c>
      <c r="Y215">
        <v>240800000</v>
      </c>
      <c r="Z215">
        <v>260200000</v>
      </c>
      <c r="AA215">
        <v>358300000</v>
      </c>
    </row>
    <row r="216" spans="1:27" x14ac:dyDescent="0.2">
      <c r="A216" t="s">
        <v>169</v>
      </c>
      <c r="B216">
        <v>1691000000</v>
      </c>
      <c r="C216">
        <v>1474000000</v>
      </c>
      <c r="D216">
        <v>1397000000</v>
      </c>
      <c r="E216">
        <v>1250000000</v>
      </c>
      <c r="F216">
        <v>1225000000</v>
      </c>
      <c r="K216" t="s">
        <v>148</v>
      </c>
      <c r="L216">
        <v>629250000</v>
      </c>
      <c r="M216">
        <v>629250000</v>
      </c>
      <c r="V216" t="s">
        <v>90</v>
      </c>
      <c r="Y216">
        <v>68500000</v>
      </c>
      <c r="Z216">
        <v>60000000</v>
      </c>
      <c r="AA216">
        <v>145900000</v>
      </c>
    </row>
    <row r="217" spans="1:27" x14ac:dyDescent="0.2">
      <c r="A217" t="s">
        <v>170</v>
      </c>
      <c r="C217">
        <v>-426000000</v>
      </c>
      <c r="D217">
        <v>-347000000</v>
      </c>
      <c r="E217">
        <v>-332000000</v>
      </c>
      <c r="F217">
        <v>-377000000</v>
      </c>
      <c r="K217" t="s">
        <v>144</v>
      </c>
      <c r="V217" t="s">
        <v>93</v>
      </c>
      <c r="Y217">
        <v>68500000</v>
      </c>
      <c r="Z217">
        <v>60000000</v>
      </c>
    </row>
    <row r="218" spans="1:27" x14ac:dyDescent="0.2">
      <c r="A218" t="s">
        <v>171</v>
      </c>
      <c r="B218">
        <v>26745000000</v>
      </c>
      <c r="C218">
        <v>29720000000</v>
      </c>
      <c r="D218">
        <v>35953000000</v>
      </c>
      <c r="E218">
        <v>6697000000</v>
      </c>
      <c r="F218">
        <v>6211000000</v>
      </c>
      <c r="K218" t="s">
        <v>146</v>
      </c>
      <c r="V218" t="s">
        <v>94</v>
      </c>
      <c r="W218">
        <v>144800000</v>
      </c>
      <c r="X218">
        <v>156500000</v>
      </c>
      <c r="Y218">
        <v>172300000</v>
      </c>
      <c r="Z218">
        <v>200200000</v>
      </c>
      <c r="AA218">
        <v>212400000</v>
      </c>
    </row>
    <row r="219" spans="1:27" x14ac:dyDescent="0.2">
      <c r="A219" t="s">
        <v>172</v>
      </c>
      <c r="B219">
        <v>8711000000</v>
      </c>
      <c r="C219">
        <v>7822000000</v>
      </c>
      <c r="D219">
        <v>10203000000</v>
      </c>
      <c r="E219">
        <v>991000000</v>
      </c>
      <c r="F219">
        <v>506000000</v>
      </c>
      <c r="K219" t="s">
        <v>155</v>
      </c>
      <c r="L219">
        <v>706535000</v>
      </c>
      <c r="M219">
        <v>1001977000</v>
      </c>
      <c r="N219">
        <v>841775000</v>
      </c>
      <c r="O219">
        <v>846703000</v>
      </c>
      <c r="P219">
        <v>766996000</v>
      </c>
      <c r="V219" t="s">
        <v>87</v>
      </c>
      <c r="W219">
        <v>10200000</v>
      </c>
    </row>
    <row r="220" spans="1:27" x14ac:dyDescent="0.2">
      <c r="A220" t="s">
        <v>173</v>
      </c>
      <c r="B220">
        <v>2430000000</v>
      </c>
      <c r="C220">
        <v>2702000000</v>
      </c>
      <c r="D220">
        <v>3187000000</v>
      </c>
      <c r="E220">
        <v>543000000</v>
      </c>
      <c r="F220">
        <v>1562000000</v>
      </c>
      <c r="K220" t="s">
        <v>156</v>
      </c>
      <c r="L220">
        <v>152920000</v>
      </c>
      <c r="M220">
        <v>196725000</v>
      </c>
      <c r="N220">
        <v>169994000</v>
      </c>
      <c r="O220">
        <v>175002000</v>
      </c>
      <c r="P220">
        <v>172483000</v>
      </c>
      <c r="V220" t="s">
        <v>417</v>
      </c>
    </row>
    <row r="221" spans="1:27" x14ac:dyDescent="0.2">
      <c r="A221" t="s">
        <v>174</v>
      </c>
      <c r="B221">
        <v>2261000000</v>
      </c>
      <c r="C221">
        <v>2695000000</v>
      </c>
      <c r="D221">
        <v>2348000000</v>
      </c>
      <c r="E221">
        <v>1490000000</v>
      </c>
      <c r="F221">
        <v>2490000000</v>
      </c>
      <c r="K221" t="s">
        <v>422</v>
      </c>
      <c r="L221">
        <v>136219000</v>
      </c>
      <c r="M221">
        <v>163631000</v>
      </c>
      <c r="N221">
        <v>146732000</v>
      </c>
      <c r="O221">
        <v>160326000</v>
      </c>
      <c r="P221">
        <v>143651000</v>
      </c>
      <c r="V221" t="s">
        <v>96</v>
      </c>
      <c r="W221">
        <v>60500000</v>
      </c>
      <c r="X221">
        <v>272500000</v>
      </c>
      <c r="Y221">
        <v>64400000</v>
      </c>
      <c r="Z221">
        <v>92000000</v>
      </c>
      <c r="AA221">
        <v>78600000</v>
      </c>
    </row>
    <row r="222" spans="1:27" x14ac:dyDescent="0.2">
      <c r="A222" t="s">
        <v>175</v>
      </c>
      <c r="B222">
        <v>2361000000</v>
      </c>
      <c r="C222">
        <v>2052000000</v>
      </c>
      <c r="D222">
        <v>3084000000</v>
      </c>
      <c r="E222">
        <v>405000000</v>
      </c>
      <c r="F222">
        <v>436000000</v>
      </c>
      <c r="K222" t="s">
        <v>423</v>
      </c>
      <c r="L222">
        <v>123477000</v>
      </c>
      <c r="M222">
        <v>143868000</v>
      </c>
      <c r="N222">
        <v>126466000</v>
      </c>
      <c r="O222">
        <v>127319000</v>
      </c>
      <c r="P222">
        <v>120568000</v>
      </c>
      <c r="V222" t="s">
        <v>97</v>
      </c>
      <c r="W222">
        <v>34800000</v>
      </c>
      <c r="X222">
        <v>35300000</v>
      </c>
      <c r="Y222">
        <v>47900000</v>
      </c>
      <c r="Z222">
        <v>50300000</v>
      </c>
      <c r="AA222">
        <v>27700000</v>
      </c>
    </row>
    <row r="223" spans="1:27" x14ac:dyDescent="0.2">
      <c r="A223" t="s">
        <v>176</v>
      </c>
      <c r="B223">
        <v>1741000000</v>
      </c>
      <c r="C223">
        <v>3126000000</v>
      </c>
      <c r="D223">
        <v>1698000000</v>
      </c>
      <c r="E223">
        <v>2350000000</v>
      </c>
      <c r="F223">
        <v>369000000</v>
      </c>
      <c r="K223" t="s">
        <v>424</v>
      </c>
      <c r="L223">
        <v>109053000</v>
      </c>
      <c r="M223">
        <v>125173000</v>
      </c>
      <c r="N223">
        <v>96066000</v>
      </c>
      <c r="O223">
        <v>107147000</v>
      </c>
      <c r="P223">
        <v>102301000</v>
      </c>
      <c r="V223" t="s">
        <v>100</v>
      </c>
      <c r="W223">
        <v>34800000</v>
      </c>
      <c r="X223">
        <v>35300000</v>
      </c>
      <c r="Y223">
        <v>47900000</v>
      </c>
      <c r="Z223">
        <v>50300000</v>
      </c>
      <c r="AA223">
        <v>27700000</v>
      </c>
    </row>
    <row r="224" spans="1:27" x14ac:dyDescent="0.2">
      <c r="A224" t="s">
        <v>177</v>
      </c>
      <c r="B224">
        <v>11431000000</v>
      </c>
      <c r="C224">
        <v>16792000000</v>
      </c>
      <c r="D224">
        <v>15780000000</v>
      </c>
      <c r="E224">
        <v>1250000000</v>
      </c>
      <c r="F224">
        <v>1225000000</v>
      </c>
      <c r="K224" t="s">
        <v>157</v>
      </c>
      <c r="L224">
        <v>92000000</v>
      </c>
      <c r="M224">
        <v>97085000</v>
      </c>
      <c r="N224">
        <v>75225000</v>
      </c>
      <c r="O224">
        <v>89890000</v>
      </c>
      <c r="P224">
        <v>68483000</v>
      </c>
      <c r="V224" t="s">
        <v>104</v>
      </c>
      <c r="W224">
        <v>376000000</v>
      </c>
      <c r="X224">
        <v>377800000</v>
      </c>
      <c r="Y224">
        <v>549000000</v>
      </c>
      <c r="Z224">
        <v>618900000</v>
      </c>
      <c r="AA224">
        <v>493400000</v>
      </c>
    </row>
    <row r="225" spans="1:27" x14ac:dyDescent="0.2">
      <c r="A225" t="s">
        <v>178</v>
      </c>
      <c r="B225">
        <v>-2190000000</v>
      </c>
      <c r="C225">
        <v>-5469000000</v>
      </c>
      <c r="D225">
        <v>-347000000</v>
      </c>
      <c r="E225">
        <v>-332000000</v>
      </c>
      <c r="F225">
        <v>-377000000</v>
      </c>
      <c r="K225" t="s">
        <v>158</v>
      </c>
      <c r="L225">
        <v>209492000</v>
      </c>
      <c r="M225">
        <v>467361000</v>
      </c>
      <c r="N225">
        <v>379133000</v>
      </c>
      <c r="O225">
        <v>355135000</v>
      </c>
      <c r="P225">
        <v>309830000</v>
      </c>
      <c r="V225" t="s">
        <v>106</v>
      </c>
      <c r="W225">
        <v>899000000</v>
      </c>
      <c r="X225">
        <v>1047400000</v>
      </c>
      <c r="Y225">
        <v>1285300000</v>
      </c>
      <c r="Z225">
        <v>1390900000</v>
      </c>
      <c r="AA225">
        <v>1520900000</v>
      </c>
    </row>
    <row r="226" spans="1:27" x14ac:dyDescent="0.2">
      <c r="A226" t="s">
        <v>159</v>
      </c>
      <c r="B226">
        <v>19160000000</v>
      </c>
      <c r="C226">
        <v>16705000000</v>
      </c>
      <c r="D226">
        <v>18392000000</v>
      </c>
      <c r="K226" t="s">
        <v>158</v>
      </c>
      <c r="L226">
        <v>-116626000</v>
      </c>
      <c r="M226">
        <v>-191866000</v>
      </c>
      <c r="N226">
        <v>-151841000</v>
      </c>
      <c r="O226">
        <v>-168116000</v>
      </c>
      <c r="P226">
        <v>-150320000</v>
      </c>
      <c r="V226" t="s">
        <v>107</v>
      </c>
      <c r="W226">
        <v>764300000</v>
      </c>
      <c r="X226">
        <v>928900000</v>
      </c>
      <c r="Y226">
        <v>1165100000</v>
      </c>
      <c r="Z226">
        <v>1295600000</v>
      </c>
      <c r="AA226">
        <v>1457500000</v>
      </c>
    </row>
    <row r="227" spans="1:27" x14ac:dyDescent="0.2">
      <c r="A227" t="s">
        <v>160</v>
      </c>
      <c r="B227">
        <v>8002000000</v>
      </c>
      <c r="C227">
        <v>6735000000</v>
      </c>
      <c r="D227">
        <v>9383000000</v>
      </c>
      <c r="K227" t="s">
        <v>159</v>
      </c>
      <c r="L227">
        <v>1777608000</v>
      </c>
      <c r="M227">
        <v>1498515000</v>
      </c>
      <c r="N227">
        <v>1763370000</v>
      </c>
      <c r="O227">
        <v>1573522000</v>
      </c>
      <c r="P227">
        <v>1575852000</v>
      </c>
      <c r="V227" t="s">
        <v>108</v>
      </c>
      <c r="W227">
        <v>600500000</v>
      </c>
      <c r="X227">
        <v>775200000</v>
      </c>
      <c r="Y227">
        <v>851000000</v>
      </c>
      <c r="Z227">
        <v>1030300000</v>
      </c>
      <c r="AA227">
        <v>1446100000</v>
      </c>
    </row>
    <row r="228" spans="1:27" x14ac:dyDescent="0.2">
      <c r="A228" t="s">
        <v>161</v>
      </c>
      <c r="B228">
        <v>1771000000</v>
      </c>
      <c r="C228">
        <v>1902000000</v>
      </c>
      <c r="D228">
        <v>1871000000</v>
      </c>
      <c r="K228" t="s">
        <v>160</v>
      </c>
      <c r="L228">
        <v>1218931000</v>
      </c>
      <c r="M228">
        <v>1243623000</v>
      </c>
      <c r="N228">
        <v>1574540000</v>
      </c>
      <c r="O228">
        <v>1244439000</v>
      </c>
      <c r="P228">
        <v>1295996000</v>
      </c>
      <c r="V228" t="s">
        <v>109</v>
      </c>
      <c r="AA228">
        <v>426100000</v>
      </c>
    </row>
    <row r="229" spans="1:27" x14ac:dyDescent="0.2">
      <c r="A229" t="s">
        <v>162</v>
      </c>
      <c r="B229">
        <v>1671000000</v>
      </c>
      <c r="C229">
        <v>1453000000</v>
      </c>
      <c r="D229">
        <v>1583000000</v>
      </c>
      <c r="K229" t="s">
        <v>162</v>
      </c>
      <c r="L229">
        <v>220792000</v>
      </c>
      <c r="M229">
        <v>154544000</v>
      </c>
      <c r="N229">
        <v>139172000</v>
      </c>
      <c r="O229">
        <v>189758000</v>
      </c>
      <c r="P229">
        <v>100548000</v>
      </c>
      <c r="V229" t="s">
        <v>114</v>
      </c>
      <c r="W229">
        <v>600500000</v>
      </c>
      <c r="X229">
        <v>775200000</v>
      </c>
      <c r="Y229">
        <v>851000000</v>
      </c>
      <c r="Z229">
        <v>1030300000</v>
      </c>
      <c r="AA229">
        <v>1020000000</v>
      </c>
    </row>
    <row r="230" spans="1:27" x14ac:dyDescent="0.2">
      <c r="A230" t="s">
        <v>164</v>
      </c>
      <c r="B230">
        <v>1329000000</v>
      </c>
      <c r="C230">
        <v>1361000000</v>
      </c>
      <c r="D230">
        <v>1372000000</v>
      </c>
      <c r="K230" t="s">
        <v>165</v>
      </c>
      <c r="L230">
        <v>190089000</v>
      </c>
      <c r="M230">
        <v>87895000</v>
      </c>
      <c r="N230">
        <v>45313000</v>
      </c>
      <c r="O230">
        <v>40575000</v>
      </c>
      <c r="P230">
        <v>63152000</v>
      </c>
      <c r="V230" t="s">
        <v>116</v>
      </c>
      <c r="W230">
        <v>163800000</v>
      </c>
      <c r="X230">
        <v>153700000</v>
      </c>
      <c r="Y230">
        <v>314100000</v>
      </c>
      <c r="Z230">
        <v>265300000</v>
      </c>
      <c r="AA230">
        <v>11400000</v>
      </c>
    </row>
    <row r="231" spans="1:27" x14ac:dyDescent="0.2">
      <c r="A231" t="s">
        <v>165</v>
      </c>
      <c r="B231">
        <v>1264000000</v>
      </c>
      <c r="C231">
        <v>1477000000</v>
      </c>
      <c r="D231">
        <v>1090000000</v>
      </c>
      <c r="K231" t="s">
        <v>163</v>
      </c>
      <c r="L231">
        <v>147796000</v>
      </c>
      <c r="M231">
        <v>12453000</v>
      </c>
      <c r="N231">
        <v>4345000</v>
      </c>
      <c r="O231">
        <v>98750000</v>
      </c>
      <c r="P231">
        <v>116156000</v>
      </c>
      <c r="V231" t="s">
        <v>117</v>
      </c>
      <c r="W231">
        <v>77300000</v>
      </c>
      <c r="X231">
        <v>77100000</v>
      </c>
      <c r="Y231">
        <v>69800000</v>
      </c>
      <c r="Z231">
        <v>51900000</v>
      </c>
      <c r="AA231">
        <v>49800000</v>
      </c>
    </row>
    <row r="232" spans="1:27" x14ac:dyDescent="0.2">
      <c r="A232" t="s">
        <v>163</v>
      </c>
      <c r="B232">
        <v>5123000000</v>
      </c>
      <c r="C232">
        <v>3777000000</v>
      </c>
      <c r="D232">
        <v>3093000000</v>
      </c>
      <c r="K232" t="s">
        <v>166</v>
      </c>
      <c r="L232">
        <v>706535000</v>
      </c>
      <c r="M232">
        <v>1001977000</v>
      </c>
      <c r="N232">
        <v>841775000</v>
      </c>
      <c r="O232">
        <v>846703000</v>
      </c>
      <c r="P232">
        <v>766996000</v>
      </c>
      <c r="V232" t="s">
        <v>118</v>
      </c>
      <c r="W232">
        <v>34100000</v>
      </c>
      <c r="X232">
        <v>38200000</v>
      </c>
      <c r="Y232">
        <v>31900000</v>
      </c>
      <c r="Z232">
        <v>22400000</v>
      </c>
      <c r="AA232">
        <v>22500000</v>
      </c>
    </row>
    <row r="233" spans="1:27" x14ac:dyDescent="0.2">
      <c r="A233" t="s">
        <v>150</v>
      </c>
      <c r="B233">
        <v>374000000</v>
      </c>
      <c r="K233" t="s">
        <v>167</v>
      </c>
      <c r="L233">
        <v>152920000</v>
      </c>
      <c r="M233">
        <v>196725000</v>
      </c>
      <c r="N233">
        <v>169994000</v>
      </c>
      <c r="O233">
        <v>175002000</v>
      </c>
      <c r="P233">
        <v>172483000</v>
      </c>
      <c r="V233" t="s">
        <v>119</v>
      </c>
      <c r="W233">
        <v>34100000</v>
      </c>
      <c r="X233">
        <v>38200000</v>
      </c>
      <c r="Y233">
        <v>31900000</v>
      </c>
      <c r="Z233">
        <v>22400000</v>
      </c>
      <c r="AA233">
        <v>22500000</v>
      </c>
    </row>
    <row r="234" spans="1:27" x14ac:dyDescent="0.2">
      <c r="A234" t="s">
        <v>151</v>
      </c>
      <c r="B234">
        <v>32000000</v>
      </c>
      <c r="K234" t="s">
        <v>425</v>
      </c>
      <c r="L234">
        <v>136219000</v>
      </c>
      <c r="M234">
        <v>163631000</v>
      </c>
      <c r="N234">
        <v>146732000</v>
      </c>
      <c r="O234">
        <v>160326000</v>
      </c>
      <c r="P234">
        <v>143651000</v>
      </c>
      <c r="V234" t="s">
        <v>121</v>
      </c>
      <c r="W234">
        <v>43200000</v>
      </c>
      <c r="X234">
        <v>38900000</v>
      </c>
      <c r="Y234">
        <v>37900000</v>
      </c>
      <c r="Z234">
        <v>29500000</v>
      </c>
      <c r="AA234">
        <v>27300000</v>
      </c>
    </row>
    <row r="235" spans="1:27" x14ac:dyDescent="0.2">
      <c r="A235" t="s">
        <v>428</v>
      </c>
      <c r="B235">
        <v>34000000</v>
      </c>
      <c r="K235" t="s">
        <v>426</v>
      </c>
      <c r="L235">
        <v>123477000</v>
      </c>
      <c r="M235">
        <v>143868000</v>
      </c>
      <c r="N235">
        <v>126466000</v>
      </c>
      <c r="O235">
        <v>127319000</v>
      </c>
      <c r="P235">
        <v>120568000</v>
      </c>
      <c r="V235" t="s">
        <v>122</v>
      </c>
      <c r="W235">
        <v>53000000</v>
      </c>
      <c r="X235">
        <v>40600000</v>
      </c>
      <c r="Y235">
        <v>48800000</v>
      </c>
      <c r="Z235">
        <v>42000000</v>
      </c>
      <c r="AA235">
        <v>12400000</v>
      </c>
    </row>
    <row r="236" spans="1:27" x14ac:dyDescent="0.2">
      <c r="A236" t="s">
        <v>429</v>
      </c>
      <c r="B236">
        <v>40000000</v>
      </c>
      <c r="K236" t="s">
        <v>427</v>
      </c>
      <c r="L236">
        <v>109053000</v>
      </c>
      <c r="M236">
        <v>125173000</v>
      </c>
      <c r="N236">
        <v>96066000</v>
      </c>
      <c r="O236">
        <v>107147000</v>
      </c>
      <c r="P236">
        <v>102301000</v>
      </c>
      <c r="V236" t="s">
        <v>123</v>
      </c>
      <c r="W236">
        <v>53000000</v>
      </c>
      <c r="X236">
        <v>40600000</v>
      </c>
      <c r="Y236">
        <v>48800000</v>
      </c>
      <c r="Z236">
        <v>42000000</v>
      </c>
      <c r="AA236">
        <v>12400000</v>
      </c>
    </row>
    <row r="237" spans="1:27" x14ac:dyDescent="0.2">
      <c r="A237" t="s">
        <v>430</v>
      </c>
      <c r="B237">
        <v>37000000</v>
      </c>
      <c r="K237" t="s">
        <v>168</v>
      </c>
      <c r="L237">
        <v>92000000</v>
      </c>
      <c r="M237">
        <v>97085000</v>
      </c>
      <c r="N237">
        <v>75225000</v>
      </c>
      <c r="O237">
        <v>89890000</v>
      </c>
      <c r="P237">
        <v>68483000</v>
      </c>
      <c r="V237" t="s">
        <v>129</v>
      </c>
      <c r="W237">
        <v>4400000</v>
      </c>
      <c r="X237">
        <v>700000</v>
      </c>
      <c r="Y237">
        <v>1500000</v>
      </c>
      <c r="Z237">
        <v>1400000</v>
      </c>
      <c r="AA237">
        <v>1300000</v>
      </c>
    </row>
    <row r="238" spans="1:27" x14ac:dyDescent="0.2">
      <c r="A238" t="s">
        <v>152</v>
      </c>
      <c r="B238">
        <v>34000000</v>
      </c>
      <c r="K238" t="s">
        <v>169</v>
      </c>
      <c r="L238">
        <v>209492000</v>
      </c>
      <c r="M238">
        <v>467361000</v>
      </c>
      <c r="N238">
        <v>379133000</v>
      </c>
      <c r="O238">
        <v>355135000</v>
      </c>
      <c r="P238">
        <v>309830000</v>
      </c>
      <c r="V238" t="s">
        <v>130</v>
      </c>
      <c r="W238">
        <v>1920300000</v>
      </c>
      <c r="X238">
        <v>1763900000</v>
      </c>
      <c r="Y238">
        <v>2278500000</v>
      </c>
      <c r="Z238">
        <v>2538800000</v>
      </c>
      <c r="AA238">
        <v>2582300000</v>
      </c>
    </row>
    <row r="239" spans="1:27" x14ac:dyDescent="0.2">
      <c r="A239" t="s">
        <v>153</v>
      </c>
      <c r="B239">
        <v>197000000</v>
      </c>
      <c r="K239" t="s">
        <v>170</v>
      </c>
      <c r="L239">
        <v>-116626000</v>
      </c>
      <c r="M239">
        <v>-191866000</v>
      </c>
      <c r="N239">
        <v>-151841000</v>
      </c>
      <c r="O239">
        <v>-168116000</v>
      </c>
      <c r="P239">
        <v>-150320000</v>
      </c>
      <c r="V239" t="s">
        <v>131</v>
      </c>
      <c r="W239">
        <v>1873600000</v>
      </c>
      <c r="X239">
        <v>1722400000</v>
      </c>
      <c r="Y239">
        <v>2213300000</v>
      </c>
      <c r="Z239">
        <v>2471700000</v>
      </c>
      <c r="AA239">
        <v>2553400000</v>
      </c>
    </row>
    <row r="240" spans="1:27" x14ac:dyDescent="0.2">
      <c r="A240" t="s">
        <v>388</v>
      </c>
      <c r="K240" t="s">
        <v>171</v>
      </c>
      <c r="L240">
        <v>3076830000</v>
      </c>
      <c r="M240">
        <v>3727242000</v>
      </c>
      <c r="N240">
        <v>3267676000</v>
      </c>
      <c r="O240">
        <v>3094703000</v>
      </c>
      <c r="P240">
        <v>3018640000</v>
      </c>
      <c r="V240" t="s">
        <v>132</v>
      </c>
      <c r="W240">
        <v>205700000</v>
      </c>
      <c r="X240">
        <v>208200000</v>
      </c>
      <c r="Y240">
        <v>210300000</v>
      </c>
      <c r="Z240">
        <v>218100000</v>
      </c>
      <c r="AA240">
        <v>223000000</v>
      </c>
    </row>
    <row r="241" spans="11:27" x14ac:dyDescent="0.2">
      <c r="K241" t="s">
        <v>172</v>
      </c>
      <c r="L241">
        <v>1391351000</v>
      </c>
      <c r="M241">
        <v>1459848000</v>
      </c>
      <c r="N241">
        <v>1744534000</v>
      </c>
      <c r="O241">
        <v>1440155000</v>
      </c>
      <c r="P241">
        <v>1549398000</v>
      </c>
      <c r="V241" t="s">
        <v>133</v>
      </c>
      <c r="W241">
        <v>233800000</v>
      </c>
      <c r="X241">
        <v>235600000</v>
      </c>
      <c r="Y241">
        <v>237200000</v>
      </c>
      <c r="Z241">
        <v>241600000</v>
      </c>
      <c r="AA241">
        <v>244600000</v>
      </c>
    </row>
    <row r="242" spans="11:27" x14ac:dyDescent="0.2">
      <c r="K242" t="s">
        <v>173</v>
      </c>
      <c r="L242">
        <v>136219000</v>
      </c>
      <c r="M242">
        <v>163631000</v>
      </c>
      <c r="N242">
        <v>146732000</v>
      </c>
      <c r="O242">
        <v>160326000</v>
      </c>
      <c r="P242">
        <v>143651000</v>
      </c>
      <c r="V242" t="s">
        <v>134</v>
      </c>
      <c r="W242">
        <v>150800000</v>
      </c>
      <c r="X242">
        <v>150800000</v>
      </c>
      <c r="Y242">
        <v>150800000</v>
      </c>
      <c r="Z242">
        <v>150800000</v>
      </c>
      <c r="AA242">
        <v>150800000</v>
      </c>
    </row>
    <row r="243" spans="11:27" x14ac:dyDescent="0.2">
      <c r="K243" t="s">
        <v>174</v>
      </c>
      <c r="L243">
        <v>383269000</v>
      </c>
      <c r="M243">
        <v>337412000</v>
      </c>
      <c r="N243">
        <v>346557000</v>
      </c>
      <c r="O243">
        <v>437603000</v>
      </c>
      <c r="P243">
        <v>821116000</v>
      </c>
      <c r="V243" t="s">
        <v>135</v>
      </c>
      <c r="W243">
        <v>83000000</v>
      </c>
      <c r="X243">
        <v>84800000</v>
      </c>
      <c r="Y243">
        <v>86400000</v>
      </c>
      <c r="Z243">
        <v>90800000</v>
      </c>
      <c r="AA243">
        <v>93800000</v>
      </c>
    </row>
    <row r="244" spans="11:27" x14ac:dyDescent="0.2">
      <c r="K244" t="s">
        <v>175</v>
      </c>
      <c r="L244">
        <v>109053000</v>
      </c>
      <c r="M244">
        <v>125173000</v>
      </c>
      <c r="N244">
        <v>96066000</v>
      </c>
      <c r="O244">
        <v>107147000</v>
      </c>
      <c r="P244">
        <v>102301000</v>
      </c>
      <c r="V244" t="s">
        <v>431</v>
      </c>
      <c r="W244">
        <v>-28100000</v>
      </c>
      <c r="X244">
        <v>-27400000</v>
      </c>
      <c r="Y244">
        <v>-26900000</v>
      </c>
      <c r="Z244">
        <v>-23500000</v>
      </c>
      <c r="AA244">
        <v>-21600000</v>
      </c>
    </row>
    <row r="245" spans="11:27" x14ac:dyDescent="0.2">
      <c r="K245" t="s">
        <v>176</v>
      </c>
      <c r="L245">
        <v>321089000</v>
      </c>
      <c r="M245">
        <v>723980000</v>
      </c>
      <c r="N245">
        <v>720538000</v>
      </c>
      <c r="O245">
        <v>740215000</v>
      </c>
      <c r="P245">
        <v>131635000</v>
      </c>
      <c r="V245" t="s">
        <v>137</v>
      </c>
      <c r="X245">
        <v>1514200000</v>
      </c>
      <c r="Y245">
        <v>2002900000</v>
      </c>
      <c r="Z245">
        <v>2253600000</v>
      </c>
      <c r="AA245">
        <v>2330400000</v>
      </c>
    </row>
    <row r="246" spans="11:27" x14ac:dyDescent="0.2">
      <c r="K246" t="s">
        <v>177</v>
      </c>
      <c r="L246">
        <v>986538000</v>
      </c>
      <c r="M246">
        <v>1109064000</v>
      </c>
      <c r="N246">
        <v>383478000</v>
      </c>
      <c r="O246">
        <v>453885000</v>
      </c>
      <c r="P246">
        <v>425986000</v>
      </c>
      <c r="V246" t="s">
        <v>138</v>
      </c>
      <c r="X246">
        <v>1514200000</v>
      </c>
      <c r="Y246">
        <v>2002900000</v>
      </c>
      <c r="Z246">
        <v>2253600000</v>
      </c>
      <c r="AA246">
        <v>2330400000</v>
      </c>
    </row>
    <row r="247" spans="11:27" x14ac:dyDescent="0.2">
      <c r="K247" t="s">
        <v>178</v>
      </c>
      <c r="L247">
        <v>-250689000</v>
      </c>
      <c r="M247">
        <v>-191866000</v>
      </c>
      <c r="N247">
        <v>-170229000</v>
      </c>
      <c r="O247">
        <v>-244628000</v>
      </c>
      <c r="P247">
        <v>-155447000</v>
      </c>
      <c r="V247" t="s">
        <v>136</v>
      </c>
      <c r="W247">
        <v>1668000000</v>
      </c>
    </row>
    <row r="248" spans="11:27" x14ac:dyDescent="0.2">
      <c r="K248" t="s">
        <v>396</v>
      </c>
      <c r="V248" t="s">
        <v>141</v>
      </c>
      <c r="W248">
        <v>46700000</v>
      </c>
      <c r="X248">
        <v>41500000</v>
      </c>
      <c r="Y248">
        <v>65200000</v>
      </c>
      <c r="Z248">
        <v>67100000</v>
      </c>
      <c r="AA248">
        <v>28900000</v>
      </c>
    </row>
    <row r="249" spans="11:27" x14ac:dyDescent="0.2">
      <c r="V249" t="s">
        <v>142</v>
      </c>
      <c r="W249">
        <v>173500000</v>
      </c>
      <c r="X249">
        <v>266400000</v>
      </c>
      <c r="Y249">
        <v>380000000</v>
      </c>
      <c r="Z249">
        <v>327400000</v>
      </c>
      <c r="AA249">
        <v>572000000</v>
      </c>
    </row>
    <row r="250" spans="11:27" x14ac:dyDescent="0.2">
      <c r="V250" t="s">
        <v>143</v>
      </c>
      <c r="W250">
        <v>10200000</v>
      </c>
      <c r="X250">
        <v>121400000</v>
      </c>
      <c r="Y250">
        <v>68500000</v>
      </c>
      <c r="Z250">
        <v>75900000</v>
      </c>
      <c r="AA250">
        <v>145900000</v>
      </c>
    </row>
    <row r="251" spans="11:27" x14ac:dyDescent="0.2">
      <c r="V251" t="s">
        <v>147</v>
      </c>
      <c r="X251">
        <v>145000000</v>
      </c>
      <c r="Y251">
        <v>311500000</v>
      </c>
      <c r="Z251">
        <v>251500000</v>
      </c>
      <c r="AA251">
        <v>426100000</v>
      </c>
    </row>
    <row r="252" spans="11:27" x14ac:dyDescent="0.2">
      <c r="V252" t="s">
        <v>144</v>
      </c>
      <c r="W252">
        <v>103300000</v>
      </c>
    </row>
    <row r="253" spans="11:27" x14ac:dyDescent="0.2">
      <c r="V253" t="s">
        <v>148</v>
      </c>
      <c r="W253">
        <v>60000000</v>
      </c>
    </row>
    <row r="254" spans="11:27" x14ac:dyDescent="0.2">
      <c r="V254" t="s">
        <v>145</v>
      </c>
    </row>
    <row r="255" spans="11:27" x14ac:dyDescent="0.2">
      <c r="V255" t="s">
        <v>150</v>
      </c>
      <c r="W255">
        <v>745300000</v>
      </c>
      <c r="X255">
        <v>931700000</v>
      </c>
      <c r="Y255">
        <v>1023400000</v>
      </c>
      <c r="Z255">
        <v>1230300000</v>
      </c>
      <c r="AA255">
        <v>1232400000</v>
      </c>
    </row>
    <row r="256" spans="11:27" x14ac:dyDescent="0.2">
      <c r="V256" t="s">
        <v>151</v>
      </c>
      <c r="AA256">
        <v>255800000</v>
      </c>
    </row>
    <row r="257" spans="22:27" x14ac:dyDescent="0.2">
      <c r="V257" t="s">
        <v>152</v>
      </c>
      <c r="W257">
        <v>443500000</v>
      </c>
      <c r="X257">
        <v>463300000</v>
      </c>
      <c r="Y257">
        <v>545700000</v>
      </c>
      <c r="Z257">
        <v>665300000</v>
      </c>
      <c r="AA257">
        <v>679600000</v>
      </c>
    </row>
    <row r="258" spans="22:27" x14ac:dyDescent="0.2">
      <c r="V258" t="s">
        <v>153</v>
      </c>
      <c r="W258">
        <v>248100000</v>
      </c>
      <c r="X258">
        <v>435600000</v>
      </c>
      <c r="Y258">
        <v>432400000</v>
      </c>
      <c r="Z258">
        <v>541200000</v>
      </c>
      <c r="AA258">
        <v>510400000</v>
      </c>
    </row>
    <row r="259" spans="22:27" x14ac:dyDescent="0.2">
      <c r="V259" t="s">
        <v>154</v>
      </c>
      <c r="W259">
        <v>-115700000</v>
      </c>
      <c r="X259">
        <v>-147700000</v>
      </c>
      <c r="Y259">
        <v>-152000000</v>
      </c>
      <c r="Z259">
        <v>-210200000</v>
      </c>
      <c r="AA259">
        <v>-213400000</v>
      </c>
    </row>
    <row r="260" spans="22:27" x14ac:dyDescent="0.2">
      <c r="V260" t="s">
        <v>428</v>
      </c>
      <c r="W260">
        <v>169400000</v>
      </c>
      <c r="X260">
        <v>180500000</v>
      </c>
      <c r="Y260">
        <v>197300000</v>
      </c>
      <c r="Z260">
        <v>234000000</v>
      </c>
    </row>
    <row r="261" spans="22:27" x14ac:dyDescent="0.2">
      <c r="V261" t="s">
        <v>429</v>
      </c>
    </row>
    <row r="262" spans="22:27" x14ac:dyDescent="0.2">
      <c r="V262" t="s">
        <v>159</v>
      </c>
      <c r="AA262">
        <v>1578600000</v>
      </c>
    </row>
    <row r="263" spans="22:27" x14ac:dyDescent="0.2">
      <c r="V263" t="s">
        <v>160</v>
      </c>
      <c r="AA263">
        <v>1574400000</v>
      </c>
    </row>
    <row r="264" spans="22:27" x14ac:dyDescent="0.2">
      <c r="V264" t="s">
        <v>165</v>
      </c>
      <c r="AA264">
        <v>2800000</v>
      </c>
    </row>
    <row r="265" spans="22:27" x14ac:dyDescent="0.2">
      <c r="V265" t="s">
        <v>163</v>
      </c>
      <c r="AA265">
        <v>1400000</v>
      </c>
    </row>
    <row r="266" spans="22:27" x14ac:dyDescent="0.2">
      <c r="V266" t="s">
        <v>166</v>
      </c>
      <c r="W266">
        <v>745300000</v>
      </c>
      <c r="X266">
        <v>931700000</v>
      </c>
      <c r="Y266">
        <v>1023400000</v>
      </c>
      <c r="Z266">
        <v>1230300000</v>
      </c>
      <c r="AA266">
        <v>1232400000</v>
      </c>
    </row>
    <row r="267" spans="22:27" x14ac:dyDescent="0.2">
      <c r="V267" t="s">
        <v>167</v>
      </c>
      <c r="AA267">
        <v>255800000</v>
      </c>
    </row>
    <row r="268" spans="22:27" x14ac:dyDescent="0.2">
      <c r="V268" t="s">
        <v>168</v>
      </c>
      <c r="W268">
        <v>443500000</v>
      </c>
      <c r="X268">
        <v>463300000</v>
      </c>
      <c r="Y268">
        <v>545700000</v>
      </c>
      <c r="Z268">
        <v>665300000</v>
      </c>
      <c r="AA268">
        <v>679600000</v>
      </c>
    </row>
    <row r="269" spans="22:27" x14ac:dyDescent="0.2">
      <c r="V269" t="s">
        <v>169</v>
      </c>
      <c r="W269">
        <v>248100000</v>
      </c>
      <c r="X269">
        <v>435600000</v>
      </c>
      <c r="Y269">
        <v>432400000</v>
      </c>
      <c r="Z269">
        <v>541200000</v>
      </c>
      <c r="AA269">
        <v>510400000</v>
      </c>
    </row>
    <row r="270" spans="22:27" x14ac:dyDescent="0.2">
      <c r="V270" t="s">
        <v>170</v>
      </c>
      <c r="W270">
        <v>-115700000</v>
      </c>
      <c r="X270">
        <v>-147700000</v>
      </c>
      <c r="Y270">
        <v>-152000000</v>
      </c>
      <c r="Z270">
        <v>-210200000</v>
      </c>
      <c r="AA270">
        <v>-213400000</v>
      </c>
    </row>
    <row r="271" spans="22:27" x14ac:dyDescent="0.2">
      <c r="V271" t="s">
        <v>425</v>
      </c>
      <c r="W271">
        <v>169400000</v>
      </c>
      <c r="X271">
        <v>180500000</v>
      </c>
      <c r="Y271">
        <v>197300000</v>
      </c>
      <c r="Z271">
        <v>234000000</v>
      </c>
    </row>
    <row r="272" spans="22:27" x14ac:dyDescent="0.2">
      <c r="V272" t="s">
        <v>426</v>
      </c>
    </row>
    <row r="273" spans="22:27" x14ac:dyDescent="0.2">
      <c r="V273" t="s">
        <v>171</v>
      </c>
      <c r="W273">
        <v>918800000</v>
      </c>
      <c r="X273">
        <v>1198100000</v>
      </c>
      <c r="Y273">
        <v>1403400000</v>
      </c>
      <c r="Z273">
        <v>1557700000</v>
      </c>
      <c r="AA273">
        <v>3383000000</v>
      </c>
    </row>
    <row r="274" spans="22:27" x14ac:dyDescent="0.2">
      <c r="V274" t="s">
        <v>172</v>
      </c>
      <c r="W274">
        <v>10200000</v>
      </c>
      <c r="X274">
        <v>121400000</v>
      </c>
      <c r="Y274">
        <v>68500000</v>
      </c>
      <c r="Z274">
        <v>75900000</v>
      </c>
      <c r="AA274">
        <v>1976100000</v>
      </c>
    </row>
    <row r="275" spans="22:27" x14ac:dyDescent="0.2">
      <c r="V275" t="s">
        <v>176</v>
      </c>
      <c r="W275">
        <v>443500000</v>
      </c>
      <c r="X275">
        <v>608300000</v>
      </c>
      <c r="Y275">
        <v>857200000</v>
      </c>
      <c r="Z275">
        <v>916800000</v>
      </c>
      <c r="AA275">
        <v>1108500000</v>
      </c>
    </row>
    <row r="276" spans="22:27" x14ac:dyDescent="0.2">
      <c r="V276" t="s">
        <v>177</v>
      </c>
      <c r="W276">
        <v>308100000</v>
      </c>
      <c r="X276">
        <v>435600000</v>
      </c>
      <c r="Y276">
        <v>432400000</v>
      </c>
      <c r="Z276">
        <v>541200000</v>
      </c>
      <c r="AA276">
        <v>511800000</v>
      </c>
    </row>
    <row r="277" spans="22:27" x14ac:dyDescent="0.2">
      <c r="V277" t="s">
        <v>178</v>
      </c>
      <c r="W277">
        <v>-115700000</v>
      </c>
      <c r="X277">
        <v>-147700000</v>
      </c>
      <c r="Y277">
        <v>-152000000</v>
      </c>
      <c r="Z277">
        <v>-210200000</v>
      </c>
      <c r="AA277">
        <v>-213400000</v>
      </c>
    </row>
    <row r="278" spans="22:27" x14ac:dyDescent="0.2">
      <c r="V278" t="s">
        <v>173</v>
      </c>
      <c r="W278">
        <v>272700000</v>
      </c>
      <c r="X278">
        <v>180500000</v>
      </c>
      <c r="Y278">
        <v>197300000</v>
      </c>
      <c r="Z278">
        <v>234000000</v>
      </c>
    </row>
    <row r="279" spans="22:27" x14ac:dyDescent="0.2">
      <c r="V279" t="s">
        <v>174</v>
      </c>
    </row>
    <row r="280" spans="22:27" x14ac:dyDescent="0.2">
      <c r="V280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0097-D13D-4527-A8AC-A79F065B9927}">
  <dimension ref="B2:O85"/>
  <sheetViews>
    <sheetView topLeftCell="H1" zoomScale="89" workbookViewId="0">
      <selection activeCell="M20" sqref="M20:O20"/>
    </sheetView>
  </sheetViews>
  <sheetFormatPr defaultRowHeight="12.75" customHeight="1" x14ac:dyDescent="0.2"/>
  <cols>
    <col min="2" max="2" width="28.140625" customWidth="1"/>
    <col min="3" max="3" width="23.42578125" customWidth="1"/>
    <col min="4" max="4" width="10.85546875" customWidth="1"/>
    <col min="5" max="5" width="11.140625" customWidth="1"/>
    <col min="6" max="6" width="11.42578125" customWidth="1"/>
    <col min="7" max="7" width="10.5703125" customWidth="1"/>
    <col min="8" max="8" width="70.28515625" customWidth="1"/>
    <col min="9" max="9" width="22.5703125" bestFit="1" customWidth="1"/>
    <col min="10" max="10" width="12.7109375" bestFit="1" customWidth="1"/>
    <col min="11" max="11" width="8.85546875" bestFit="1" customWidth="1"/>
    <col min="12" max="12" width="8.85546875" customWidth="1"/>
    <col min="13" max="13" width="9.7109375" bestFit="1" customWidth="1"/>
    <col min="14" max="14" width="9.28515625" bestFit="1" customWidth="1"/>
    <col min="15" max="15" width="26.7109375" customWidth="1"/>
  </cols>
  <sheetData>
    <row r="2" spans="2:8" x14ac:dyDescent="0.2">
      <c r="B2" s="98" t="s">
        <v>432</v>
      </c>
      <c r="C2" s="98"/>
      <c r="D2" s="98"/>
      <c r="E2" s="98"/>
      <c r="F2" s="98"/>
      <c r="G2" s="98"/>
      <c r="H2" s="98"/>
    </row>
    <row r="3" spans="2:8" s="79" customFormat="1" x14ac:dyDescent="0.2">
      <c r="B3" s="77" t="s">
        <v>433</v>
      </c>
      <c r="C3" s="78" t="s">
        <v>1</v>
      </c>
      <c r="D3" s="78" t="s">
        <v>2</v>
      </c>
      <c r="E3" s="78" t="s">
        <v>3</v>
      </c>
      <c r="F3" s="78" t="s">
        <v>4</v>
      </c>
      <c r="G3" s="78" t="s">
        <v>5</v>
      </c>
      <c r="H3" s="78" t="s">
        <v>434</v>
      </c>
    </row>
    <row r="4" spans="2:8" x14ac:dyDescent="0.2">
      <c r="B4" s="13" t="s">
        <v>435</v>
      </c>
      <c r="C4">
        <f>ADDDF!B73/ADDDF!B125</f>
        <v>1.9304236927873033</v>
      </c>
      <c r="D4">
        <f>ADDDF!C73/ADDDF!C125</f>
        <v>2.1464654012853086</v>
      </c>
      <c r="E4">
        <f>ADDDF!D73/ADDDF!D125</f>
        <v>1.8246778103866275</v>
      </c>
      <c r="F4">
        <f>ADDDF!E73/ADDDF!E125</f>
        <v>2.7929358998318072</v>
      </c>
      <c r="G4">
        <f>ADDDF!F73/ADDDF!F125</f>
        <v>2.6588832487309646</v>
      </c>
      <c r="H4" s="4" t="s">
        <v>436</v>
      </c>
    </row>
    <row r="5" spans="2:8" x14ac:dyDescent="0.2">
      <c r="B5" s="7" t="s">
        <v>437</v>
      </c>
      <c r="C5">
        <f>ADDDF!B74/ADDDF!B101</f>
        <v>1.7979051139864448</v>
      </c>
      <c r="D5">
        <f>ADDDF!C74/ADDDF!C101</f>
        <v>1.5947606142728095</v>
      </c>
      <c r="E5">
        <f>ADDDF!D74/ADDDF!D101</f>
        <v>1.6804123711340206</v>
      </c>
      <c r="F5">
        <f>ADDDF!E74/ADDDF!E101</f>
        <v>1.6274613220815752</v>
      </c>
      <c r="G5">
        <f>ADDDF!F74/ADDDF!F101</f>
        <v>1.5920427553444181</v>
      </c>
      <c r="H5" s="4" t="s">
        <v>438</v>
      </c>
    </row>
    <row r="6" spans="2:8" x14ac:dyDescent="0.2">
      <c r="B6" s="4" t="s">
        <v>439</v>
      </c>
      <c r="C6">
        <f>ADDDF!B3/ADDDF!B74</f>
        <v>1.249029015307288</v>
      </c>
      <c r="D6">
        <f>ADDDF!C3/ADDDF!C74</f>
        <v>1.3769117480457687</v>
      </c>
      <c r="E6">
        <f>ADDDF!D3/ADDDF!D74</f>
        <v>1.5553820412716117</v>
      </c>
      <c r="F6">
        <f>ADDDF!E3/ADDDF!E74</f>
        <v>1.2673652371178568</v>
      </c>
      <c r="G6">
        <f>ADDDF!F3/ADDDF!F74</f>
        <v>1.2195698122591072</v>
      </c>
      <c r="H6" s="4" t="s">
        <v>440</v>
      </c>
    </row>
    <row r="7" spans="2:8" x14ac:dyDescent="0.2">
      <c r="B7" s="4" t="s">
        <v>441</v>
      </c>
      <c r="C7">
        <f>ADDDF!B73/ADDDF!B2</f>
        <v>0.65875241779497096</v>
      </c>
      <c r="D7">
        <f>ADDDF!C73/ADDDF!C2</f>
        <v>0.68218306179641852</v>
      </c>
      <c r="E7">
        <f>ADDDF!D73/ADDDF!D2</f>
        <v>0.6459773230338347</v>
      </c>
      <c r="F7">
        <f>ADDDF!E73/ADDDF!E2</f>
        <v>0.73635199054000788</v>
      </c>
      <c r="G7">
        <f>ADDDF!F73/ADDDF!F2</f>
        <v>0.72669256381797998</v>
      </c>
      <c r="H7" s="4" t="s">
        <v>442</v>
      </c>
    </row>
    <row r="8" spans="2:8" x14ac:dyDescent="0.2">
      <c r="B8" s="4" t="s">
        <v>443</v>
      </c>
      <c r="C8">
        <f>(ADDDF!B73-ADDDF!B5)/'Income Statement'!B48</f>
        <v>2.965669700910273</v>
      </c>
      <c r="D8">
        <f>(ADDDF!C73-ADDDF!C5)/'Income Statement'!C48</f>
        <v>4.9870129870129869</v>
      </c>
      <c r="E8">
        <f>(ADDDF!D73-ADDDF!D5)/'Income Statement'!D48</f>
        <v>3.4155251141552512</v>
      </c>
      <c r="F8">
        <f>(ADDDF!E73-ADDDF!E5)/'Income Statement'!E48</f>
        <v>7.5490928495197442</v>
      </c>
      <c r="G8">
        <f>(ADDDF!F73-ADDDF!F5)/'Income Statement'!F48</f>
        <v>8.5891016200294548</v>
      </c>
      <c r="H8" s="12" t="s">
        <v>444</v>
      </c>
    </row>
    <row r="9" spans="2:8" x14ac:dyDescent="0.2">
      <c r="B9" s="4" t="s">
        <v>445</v>
      </c>
      <c r="C9">
        <f>'Income Statement'!B42/ADDDF!B125</f>
        <v>0.2800056681309338</v>
      </c>
      <c r="D9">
        <f>'Income Statement'!C42/ADDDF!C125</f>
        <v>6.456434015842176E-2</v>
      </c>
      <c r="E9">
        <f>'Income Statement'!D42/ADDDF!D125</f>
        <v>0.27000127599846879</v>
      </c>
      <c r="F9">
        <f>'Income Statement'!E42/ADDDF!E125</f>
        <v>0.11437114558026537</v>
      </c>
      <c r="G9">
        <f>'Income Statement'!F42/ADDDF!F125</f>
        <v>-1.5228426395939087E-2</v>
      </c>
      <c r="H9" s="4" t="s">
        <v>446</v>
      </c>
    </row>
    <row r="10" spans="2:8" x14ac:dyDescent="0.2">
      <c r="B10" s="4" t="s">
        <v>447</v>
      </c>
      <c r="C10">
        <f>'Income Statement'!B48/'Income Statement'!B3</f>
        <v>0.16264805414551609</v>
      </c>
      <c r="D10">
        <f>'Income Statement'!C48/'Income Statement'!C3</f>
        <v>0.10476718403547672</v>
      </c>
      <c r="E10">
        <f>'Income Statement'!D48/'Income Statement'!D3</f>
        <v>0.14439107092398984</v>
      </c>
      <c r="F10">
        <f>'Income Statement'!E48/'Income Statement'!E3</f>
        <v>8.3248189773888315E-2</v>
      </c>
      <c r="G10">
        <f>'Income Statement'!F48/'Income Statement'!F3</f>
        <v>6.337798105194381E-2</v>
      </c>
      <c r="H10" s="4" t="s">
        <v>448</v>
      </c>
    </row>
    <row r="11" spans="2:8" x14ac:dyDescent="0.2">
      <c r="B11" t="s">
        <v>449</v>
      </c>
      <c r="C11">
        <f>'Income Statement'!B85/'Cash Flow Statement'!B64*-1</f>
        <v>18.134615384615383</v>
      </c>
      <c r="D11">
        <f>'Income Statement'!C85/'Cash Flow Statement'!C64*-1</f>
        <v>6.484076433121019</v>
      </c>
      <c r="E11">
        <f>'Income Statement'!D85/'Cash Flow Statement'!D64*-1</f>
        <v>18.918918918918919</v>
      </c>
      <c r="F11">
        <f>'Income Statement'!E85/'Cash Flow Statement'!E64*-1</f>
        <v>6.2071428571428573</v>
      </c>
      <c r="G11">
        <f>'Income Statement'!F85/'Cash Flow Statement'!F64*-1</f>
        <v>2.7116564417177913</v>
      </c>
      <c r="H11" s="4" t="s">
        <v>450</v>
      </c>
    </row>
    <row r="12" spans="2:8" ht="15" x14ac:dyDescent="0.2">
      <c r="B12" s="8" t="s">
        <v>451</v>
      </c>
      <c r="C12">
        <f>(ADDDF!B3-ADDDF!B8)/ADDDF!B74</f>
        <v>0.78238519533927342</v>
      </c>
      <c r="D12">
        <f>(ADDDF!C3-ADDDF!C8)/ADDDF!C74</f>
        <v>0.87878101280163134</v>
      </c>
      <c r="E12">
        <f>(ADDDF!D3-ADDDF!D8)/ADDDF!D74</f>
        <v>1.1081985499163414</v>
      </c>
      <c r="F12">
        <f>(ADDDF!E3-ADDDF!E8)/ADDDF!E74</f>
        <v>0.62212379820676245</v>
      </c>
      <c r="G12">
        <f>(ADDDF!F3-ADDDF!F8)/ADDDF!F74</f>
        <v>0.65696879273902775</v>
      </c>
      <c r="H12" s="4" t="s">
        <v>452</v>
      </c>
    </row>
    <row r="13" spans="2:8" x14ac:dyDescent="0.2">
      <c r="B13" s="4" t="s">
        <v>453</v>
      </c>
      <c r="C13">
        <f>'Cash Flow Statement'!B2/ADDDF!B73</f>
        <v>0.20692945753505101</v>
      </c>
      <c r="D13">
        <f>'Cash Flow Statement'!C2/ADDDF!C73</f>
        <v>0.10346748363737641</v>
      </c>
      <c r="E13">
        <f>'Cash Flow Statement'!D2/ADDDF!D73</f>
        <v>0.2232167832167832</v>
      </c>
      <c r="F13">
        <f>'Cash Flow Statement'!E2/ADDDF!E73</f>
        <v>-3.633322181331549E-2</v>
      </c>
      <c r="G13">
        <f>'Cash Flow Statement'!F2/ADDDF!F73</f>
        <v>0.20084001527300496</v>
      </c>
      <c r="H13" s="4" t="s">
        <v>454</v>
      </c>
    </row>
    <row r="14" spans="2:8" x14ac:dyDescent="0.2">
      <c r="B14" s="4" t="s">
        <v>455</v>
      </c>
      <c r="C14">
        <f>('Cash Flow Statement'!B2-'Cash Flow Statement'!B31)/ADDDF!B73</f>
        <v>0.25082580929310727</v>
      </c>
      <c r="D14">
        <f>('Cash Flow Statement'!C2-'Cash Flow Statement'!C31)/ADDDF!C73</f>
        <v>0.12985656593789166</v>
      </c>
      <c r="E14">
        <f>('Cash Flow Statement'!D2-'Cash Flow Statement'!D31)/ADDDF!D73</f>
        <v>0.25776223776223778</v>
      </c>
      <c r="F14">
        <f>('Cash Flow Statement'!E2-'Cash Flow Statement'!E31)/ADDDF!E73</f>
        <v>-2.6095684175309469E-3</v>
      </c>
      <c r="G14">
        <f>('Cash Flow Statement'!F2-'Cash Flow Statement'!F31)/ADDDF!F73</f>
        <v>0.22856051928216878</v>
      </c>
      <c r="H14" s="4" t="s">
        <v>456</v>
      </c>
    </row>
    <row r="15" spans="2:8" x14ac:dyDescent="0.2"/>
    <row r="19" spans="2:15" x14ac:dyDescent="0.2">
      <c r="I19" t="s">
        <v>457</v>
      </c>
    </row>
    <row r="20" spans="2:15" x14ac:dyDescent="0.2">
      <c r="B20" s="98" t="s">
        <v>458</v>
      </c>
      <c r="C20" s="97"/>
      <c r="D20" s="97"/>
      <c r="E20" s="97"/>
      <c r="F20" s="97"/>
      <c r="G20" s="97"/>
      <c r="I20" s="43" t="s">
        <v>459</v>
      </c>
      <c r="J20" s="46" t="s">
        <v>432</v>
      </c>
      <c r="K20" s="44"/>
      <c r="L20" s="91"/>
      <c r="M20" s="93" t="s">
        <v>460</v>
      </c>
      <c r="N20" s="94" t="s">
        <v>432</v>
      </c>
      <c r="O20" s="95" t="s">
        <v>461</v>
      </c>
    </row>
    <row r="21" spans="2:15" x14ac:dyDescent="0.2">
      <c r="B21" s="80" t="s">
        <v>462</v>
      </c>
      <c r="C21" s="78" t="s">
        <v>1</v>
      </c>
      <c r="D21" s="78" t="s">
        <v>2</v>
      </c>
      <c r="E21" s="78" t="s">
        <v>3</v>
      </c>
      <c r="F21" s="78" t="s">
        <v>4</v>
      </c>
      <c r="G21" s="78" t="s">
        <v>5</v>
      </c>
      <c r="I21" s="68">
        <f>AVERAGE(C22:G25)</f>
        <v>1.8058237394616785</v>
      </c>
      <c r="J21" s="69">
        <f>AVERAGE(C22:G22)</f>
        <v>2.2706772106044024</v>
      </c>
      <c r="K21" s="47" t="s">
        <v>463</v>
      </c>
      <c r="L21" s="92"/>
      <c r="M21" s="47" t="s">
        <v>463</v>
      </c>
      <c r="N21" s="3">
        <f>AVERAGE(C22:G22)</f>
        <v>2.2706772106044024</v>
      </c>
      <c r="O21" s="3">
        <f>AVERAGE(Table6[[2019]:[2023]])</f>
        <v>1.8058237394616785</v>
      </c>
    </row>
    <row r="22" spans="2:15" x14ac:dyDescent="0.2">
      <c r="B22" s="81" t="s">
        <v>432</v>
      </c>
      <c r="C22" s="82">
        <f>C4</f>
        <v>1.9304236927873033</v>
      </c>
      <c r="D22" s="82">
        <f>D4</f>
        <v>2.1464654012853086</v>
      </c>
      <c r="E22" s="82">
        <f>E4</f>
        <v>1.8246778103866275</v>
      </c>
      <c r="F22" s="82">
        <f>F4</f>
        <v>2.7929358998318072</v>
      </c>
      <c r="G22" s="82">
        <f>G4</f>
        <v>2.6588832487309646</v>
      </c>
      <c r="I22" s="70">
        <f>MEDIAN(C22:G25)</f>
        <v>1.6616068355502218</v>
      </c>
      <c r="J22" s="71">
        <f>MEDIAN(C22:G22)</f>
        <v>2.1464654012853086</v>
      </c>
      <c r="K22" s="45" t="s">
        <v>464</v>
      </c>
      <c r="L22" s="83"/>
      <c r="M22" s="45" t="s">
        <v>464</v>
      </c>
      <c r="N22" s="3">
        <f>MEDIAN(Table6[[#This Row],[2019]:[2023]])</f>
        <v>2.1464654012853086</v>
      </c>
      <c r="O22" s="3">
        <f>MEDIAN(Table6[[2019]:[2023]])</f>
        <v>1.6616068355502218</v>
      </c>
    </row>
    <row r="23" spans="2:15" x14ac:dyDescent="0.2">
      <c r="B23" s="81" t="s">
        <v>465</v>
      </c>
      <c r="C23" s="82">
        <f>Competitors!B155/Competitors!B185</f>
        <v>1.6235619469026548</v>
      </c>
      <c r="D23" s="82">
        <f>Competitors!C155/Competitors!C185</f>
        <v>2.8909993792675355</v>
      </c>
      <c r="E23" s="82">
        <f>Competitors!D155/Competitors!D185</f>
        <v>1.9560585885486019</v>
      </c>
      <c r="F23" s="82">
        <f>Competitors!E155/Competitors!E185</f>
        <v>1.6386362149074014</v>
      </c>
      <c r="G23" s="82">
        <f>Competitors!F155/Competitors!F185</f>
        <v>1.6800199942873464</v>
      </c>
      <c r="I23" s="70" t="e">
        <f>MODE(C22:G25)</f>
        <v>#N/A</v>
      </c>
      <c r="J23" s="71" t="e">
        <f>MODE(C22:G22)</f>
        <v>#N/A</v>
      </c>
      <c r="K23" s="45" t="s">
        <v>466</v>
      </c>
      <c r="L23" s="83"/>
      <c r="M23" s="45" t="s">
        <v>467</v>
      </c>
      <c r="N23" s="3">
        <f>MIN(C22:G22)</f>
        <v>1.8246778103866275</v>
      </c>
      <c r="O23" s="3">
        <f>MIN(Table6[[2019]:[2023]])</f>
        <v>1.210915781740094</v>
      </c>
    </row>
    <row r="24" spans="2:15" x14ac:dyDescent="0.2">
      <c r="B24" s="79" t="s">
        <v>334</v>
      </c>
      <c r="C24" s="82">
        <f>Competitors!L175/Competitors!L202</f>
        <v>1.252713959946737</v>
      </c>
      <c r="D24" s="82">
        <f>Competitors!M175/Competitors!M202</f>
        <v>2.0015805555273798</v>
      </c>
      <c r="E24" s="82">
        <f>Competitors!N175/Competitors!N202</f>
        <v>1.3893778536463006</v>
      </c>
      <c r="F24" s="82">
        <f>Competitors!O175/Competitors!O202</f>
        <v>1.430482240068695</v>
      </c>
      <c r="G24" s="82">
        <f>Competitors!P175/Competitors!P202</f>
        <v>1.210915781740094</v>
      </c>
      <c r="I24" s="70">
        <f>MIN(C22:G25)</f>
        <v>1.210915781740094</v>
      </c>
      <c r="J24" s="71">
        <f>MIN(C22:G22)</f>
        <v>1.8246778103866275</v>
      </c>
      <c r="K24" s="45" t="s">
        <v>467</v>
      </c>
      <c r="L24" s="83"/>
      <c r="M24" s="48" t="s">
        <v>468</v>
      </c>
      <c r="N24" s="3">
        <f>MAX(C22:G22)</f>
        <v>2.7929358998318072</v>
      </c>
      <c r="O24" s="3">
        <f>MAX(Table6[[2019]:[2023]])</f>
        <v>2.8909993792675355</v>
      </c>
    </row>
    <row r="25" spans="2:15" x14ac:dyDescent="0.2">
      <c r="B25" s="81" t="s">
        <v>335</v>
      </c>
      <c r="C25" s="82">
        <f>Competitors!W207/Competitors!W238</f>
        <v>1.2799562568348695</v>
      </c>
      <c r="D25" s="82">
        <f>Competitors!X207/Competitors!X238</f>
        <v>1.655536028119508</v>
      </c>
      <c r="E25" s="82">
        <f>Competitors!Y207/Competitors!Y238</f>
        <v>1.5140662716699582</v>
      </c>
      <c r="F25" s="82">
        <f>Competitors!Z207/Competitors!Z238</f>
        <v>1.6676776429809359</v>
      </c>
      <c r="G25" s="82">
        <f>Competitors!AA207/Competitors!AA238</f>
        <v>1.5715060217635441</v>
      </c>
      <c r="I25" s="72">
        <f>MAX(C22:G25)</f>
        <v>2.8909993792675355</v>
      </c>
      <c r="J25" s="73">
        <f>MAX(C22:G22)</f>
        <v>2.7929358998318072</v>
      </c>
      <c r="K25" s="48" t="s">
        <v>468</v>
      </c>
      <c r="L25" s="83"/>
    </row>
    <row r="26" spans="2:15" x14ac:dyDescent="0.2">
      <c r="I26" s="33"/>
      <c r="J26" s="34"/>
      <c r="K26" s="35"/>
    </row>
    <row r="28" spans="2:15" x14ac:dyDescent="0.2">
      <c r="B28" s="97" t="s">
        <v>449</v>
      </c>
      <c r="C28" s="97"/>
      <c r="D28" s="97"/>
      <c r="E28" s="97"/>
      <c r="F28" s="97"/>
      <c r="G28" s="97"/>
    </row>
    <row r="29" spans="2:15" x14ac:dyDescent="0.2">
      <c r="B29" s="41" t="s">
        <v>462</v>
      </c>
      <c r="C29" s="18" t="s">
        <v>1</v>
      </c>
      <c r="D29" s="18" t="s">
        <v>2</v>
      </c>
      <c r="E29" s="18" t="s">
        <v>3</v>
      </c>
      <c r="F29" s="18" t="s">
        <v>4</v>
      </c>
      <c r="G29" s="18" t="s">
        <v>5</v>
      </c>
    </row>
    <row r="30" spans="2:15" x14ac:dyDescent="0.2">
      <c r="B30" t="s">
        <v>432</v>
      </c>
      <c r="C30">
        <f>C11</f>
        <v>18.134615384615383</v>
      </c>
      <c r="D30">
        <f>D11</f>
        <v>6.484076433121019</v>
      </c>
      <c r="E30">
        <f>E11</f>
        <v>18.918918918918919</v>
      </c>
      <c r="F30">
        <f>F11</f>
        <v>6.2071428571428573</v>
      </c>
      <c r="G30">
        <f>G11</f>
        <v>2.7116564417177913</v>
      </c>
    </row>
    <row r="31" spans="2:15" x14ac:dyDescent="0.2">
      <c r="B31" t="s">
        <v>465</v>
      </c>
      <c r="C31">
        <f>Competitors!B46/Competitors!B110*-1</f>
        <v>32.37908496732026</v>
      </c>
      <c r="D31">
        <f>Competitors!C46/Competitors!C110*-1</f>
        <v>21.62142857142857</v>
      </c>
      <c r="E31">
        <f>Competitors!D46/Competitors!D110*-1</f>
        <v>23.733788395904437</v>
      </c>
      <c r="F31">
        <f>Competitors!E46/Competitors!E110*-1</f>
        <v>23.934482758620689</v>
      </c>
      <c r="G31">
        <f>Competitors!F46/Competitors!F110*-1</f>
        <v>18.870317002881844</v>
      </c>
    </row>
    <row r="32" spans="2:15" x14ac:dyDescent="0.2">
      <c r="B32" t="s">
        <v>334</v>
      </c>
      <c r="C32">
        <f>Competitors!L51/Competitors!L125*-1</f>
        <v>14.131273917142698</v>
      </c>
      <c r="D32">
        <f>Competitors!M51/Competitors!M125*-1</f>
        <v>0.58642492838678129</v>
      </c>
      <c r="E32">
        <f>Competitors!N51/Competitors!N125*-1</f>
        <v>21.883532862919211</v>
      </c>
      <c r="F32">
        <f>Competitors!O51/Competitors!O125*-1</f>
        <v>15.7679779373504</v>
      </c>
      <c r="G32">
        <f>Competitors!P51/Competitors!P125*-1</f>
        <v>52.88595302619693</v>
      </c>
    </row>
    <row r="33" spans="2:7" x14ac:dyDescent="0.2">
      <c r="B33" t="s">
        <v>335</v>
      </c>
      <c r="C33">
        <f>Competitors!W73/Competitors!W129*-1</f>
        <v>11.002293577981652</v>
      </c>
      <c r="D33">
        <f>Competitors!X73/Competitors!X129*-1</f>
        <v>5.8558139534883722</v>
      </c>
      <c r="E33">
        <f>Competitors!Y73/Competitors!Y129*-1</f>
        <v>13.490990990990991</v>
      </c>
      <c r="F33">
        <f>Competitors!Z73/Competitors!Z129*-1</f>
        <v>12.905204460966543</v>
      </c>
      <c r="G33">
        <f>Competitors!AA73/Competitors!AA129*-1</f>
        <v>7.5906680805938498</v>
      </c>
    </row>
    <row r="36" spans="2:7" x14ac:dyDescent="0.2">
      <c r="B36" s="97" t="s">
        <v>469</v>
      </c>
      <c r="C36" s="97"/>
      <c r="D36" s="97"/>
      <c r="E36" s="97"/>
      <c r="F36" s="97"/>
      <c r="G36" s="97"/>
    </row>
    <row r="37" spans="2:7" x14ac:dyDescent="0.2">
      <c r="B37" s="41" t="s">
        <v>462</v>
      </c>
      <c r="C37" s="18" t="s">
        <v>1</v>
      </c>
      <c r="D37" s="18" t="s">
        <v>2</v>
      </c>
      <c r="E37" s="18" t="s">
        <v>3</v>
      </c>
      <c r="F37" s="18" t="s">
        <v>4</v>
      </c>
      <c r="G37" s="18" t="s">
        <v>5</v>
      </c>
    </row>
    <row r="38" spans="2:7" x14ac:dyDescent="0.2">
      <c r="B38" t="s">
        <v>432</v>
      </c>
      <c r="C38" s="42">
        <f>'Income Statement'!B85/(ADDDF!B73+ADDDF!B125)</f>
        <v>0.13679883945841392</v>
      </c>
      <c r="D38" s="42">
        <f>'Income Statement'!C85/(ADDDF!C73+ADDDF!C125)</f>
        <v>4.835415380230846E-2</v>
      </c>
      <c r="E38" s="42">
        <f>'Income Statement'!D85/(ADDDF!D73+ADDDF!D125)</f>
        <v>9.4863802683290421E-2</v>
      </c>
      <c r="F38" s="42">
        <f>'Income Statement'!E85/(ADDDF!E73+ADDDF!E125)</f>
        <v>4.2816318486401259E-2</v>
      </c>
      <c r="G38" s="42">
        <f>'Income Statement'!F85/(ADDDF!F73+ADDDF!F125)</f>
        <v>2.4528301886792454E-2</v>
      </c>
    </row>
    <row r="39" spans="2:7" x14ac:dyDescent="0.2">
      <c r="B39" t="s">
        <v>465</v>
      </c>
      <c r="C39" s="42">
        <f>Competitors!B46/(Competitors!B185+Competitors!B155)</f>
        <v>0.20887970653961294</v>
      </c>
      <c r="D39" s="42">
        <f>Competitors!C46/(Competitors!C185+Competitors!C155)</f>
        <v>9.6579669453129985E-2</v>
      </c>
      <c r="E39" s="42">
        <f>Competitors!D46/(Competitors!D185+Competitors!D155)</f>
        <v>0.18426073131955484</v>
      </c>
      <c r="F39" s="42">
        <f>Competitors!E46/(Competitors!E185+Competitors!E155)</f>
        <v>0.17214354802708265</v>
      </c>
      <c r="G39" s="42">
        <f>Competitors!F46/(Competitors!F185+Competitors!F155)</f>
        <v>0.17446910553942074</v>
      </c>
    </row>
    <row r="40" spans="2:7" x14ac:dyDescent="0.2">
      <c r="B40" t="s">
        <v>334</v>
      </c>
      <c r="C40" s="42">
        <f>Competitors!L51/(Competitors!L175+Competitors!L202)</f>
        <v>5.2606455909954948E-2</v>
      </c>
      <c r="D40" s="42">
        <f>Competitors!M51/(Competitors!M175+Competitors!M202)</f>
        <v>3.3369591231949569E-3</v>
      </c>
      <c r="E40" s="42" t="s">
        <v>470</v>
      </c>
      <c r="F40" s="42">
        <f>Competitors!O51/(Competitors!O175+Competitors!O202)</f>
        <v>6.2389092383226721E-2</v>
      </c>
      <c r="G40" s="42">
        <f>Competitors!P51/(Competitors!P175+Competitors!P202)</f>
        <v>4.9189683775653081E-2</v>
      </c>
    </row>
    <row r="41" spans="2:7" x14ac:dyDescent="0.2">
      <c r="B41" t="s">
        <v>335</v>
      </c>
      <c r="C41" s="42">
        <f>Competitors!W73/(Competitors!L175+Competitors!L202)</f>
        <v>9.9039316564712807E-2</v>
      </c>
      <c r="D41" s="42">
        <f>Competitors!X73/(Competitors!M175+Competitors!M202)</f>
        <v>5.0053392936229832E-2</v>
      </c>
      <c r="E41" s="42">
        <f>Competitors!Y73/(Competitors!N175+Competitors!N202)</f>
        <v>0.1200065071975856</v>
      </c>
      <c r="F41" s="42">
        <f>Competitors!Z73/(Competitors!O175+Competitors!O202)</f>
        <v>0.14294587924480598</v>
      </c>
      <c r="G41" s="42">
        <f>Competitors!AA73/(Competitors!P175+Competitors!P202)</f>
        <v>0.15035496627200765</v>
      </c>
    </row>
    <row r="43" spans="2:7" x14ac:dyDescent="0.2">
      <c r="B43" s="97" t="s">
        <v>471</v>
      </c>
      <c r="C43" s="97"/>
      <c r="D43" s="97"/>
      <c r="E43" s="97"/>
      <c r="F43" s="97"/>
      <c r="G43" s="97"/>
    </row>
    <row r="44" spans="2:7" x14ac:dyDescent="0.2">
      <c r="B44" s="41" t="s">
        <v>462</v>
      </c>
      <c r="C44" s="18" t="s">
        <v>1</v>
      </c>
      <c r="D44" s="18" t="s">
        <v>2</v>
      </c>
      <c r="E44" s="18" t="s">
        <v>3</v>
      </c>
      <c r="F44" s="18" t="s">
        <v>4</v>
      </c>
      <c r="G44" s="18" t="s">
        <v>5</v>
      </c>
    </row>
    <row r="45" spans="2:7" x14ac:dyDescent="0.2">
      <c r="B45" t="s">
        <v>432</v>
      </c>
      <c r="C45" s="42">
        <f>'Income Statement'!B7/'Income Statement'!B3</f>
        <v>-0.4069373942470389</v>
      </c>
      <c r="D45" s="42">
        <f>'Income Statement'!C7/'Income Statement'!C3</f>
        <v>-0.45318484176577301</v>
      </c>
      <c r="E45" s="42">
        <f>'Income Statement'!D7/'Income Statement'!D3</f>
        <v>-0.4132994254497504</v>
      </c>
      <c r="F45" s="42">
        <f>'Income Statement'!E7/'Income Statement'!E3</f>
        <v>-0.44045133490293636</v>
      </c>
      <c r="G45" s="42">
        <f>'Income Statement'!F7/'Income Statement'!F3</f>
        <v>-0.46222056284127505</v>
      </c>
    </row>
    <row r="46" spans="2:7" x14ac:dyDescent="0.2">
      <c r="B46" t="s">
        <v>465</v>
      </c>
      <c r="C46" s="42">
        <f>Competitors!B13/Competitors!B5</f>
        <v>0.12199299537285579</v>
      </c>
      <c r="D46" s="42">
        <f>Competitors!C13/Competitors!C5</f>
        <v>8.3282089671951443E-2</v>
      </c>
      <c r="E46" s="42">
        <f>Competitors!D13/Competitors!D5</f>
        <v>0.15575463649018814</v>
      </c>
      <c r="F46" s="42">
        <f>Competitors!E13/Competitors!E5</f>
        <v>0.14290301862556198</v>
      </c>
      <c r="G46" s="42">
        <f>Competitors!F13/Competitors!F5</f>
        <v>0.11548899779370131</v>
      </c>
    </row>
    <row r="47" spans="2:7" x14ac:dyDescent="0.2">
      <c r="B47" t="s">
        <v>334</v>
      </c>
      <c r="C47" s="42">
        <f>Competitors!L9/Competitors!L5</f>
        <v>-0.4240947445402925</v>
      </c>
      <c r="D47" s="42">
        <f>Competitors!M9/Competitors!M5</f>
        <v>-0.48538449900294256</v>
      </c>
      <c r="E47" s="42">
        <f>Competitors!N9/Competitors!N5</f>
        <v>-0.41078648134782542</v>
      </c>
      <c r="F47" s="42">
        <f>Competitors!O9/Competitors!O5</f>
        <v>-0.40069018482846841</v>
      </c>
      <c r="G47" s="42">
        <f>Competitors!P9/Competitors!P5</f>
        <v>-0.42100191884113991</v>
      </c>
    </row>
    <row r="48" spans="2:7" x14ac:dyDescent="0.2">
      <c r="B48" t="s">
        <v>335</v>
      </c>
      <c r="C48" s="42">
        <f>Competitors!W10/Competitors!W5</f>
        <v>-0.40898186180073426</v>
      </c>
      <c r="D48" s="42">
        <f>Competitors!X10/Competitors!X5</f>
        <v>-0.4296958581690356</v>
      </c>
      <c r="E48" s="42">
        <f>Competitors!Y10/Competitors!Y5</f>
        <v>-0.39721397713580392</v>
      </c>
      <c r="F48" s="42">
        <f>Competitors!Z10/Competitors!Z5</f>
        <v>-0.38537052131693661</v>
      </c>
      <c r="G48" s="42">
        <f>Competitors!AA10/Competitors!AA5</f>
        <v>-0.39121336479998142</v>
      </c>
    </row>
    <row r="50" spans="2:7" x14ac:dyDescent="0.2">
      <c r="B50" s="97" t="s">
        <v>472</v>
      </c>
      <c r="C50" s="97"/>
      <c r="D50" s="97"/>
      <c r="E50" s="97"/>
      <c r="F50" s="97"/>
      <c r="G50" s="97"/>
    </row>
    <row r="51" spans="2:7" x14ac:dyDescent="0.2">
      <c r="B51" s="41" t="s">
        <v>462</v>
      </c>
      <c r="C51" s="18" t="s">
        <v>1</v>
      </c>
      <c r="D51" s="18" t="s">
        <v>2</v>
      </c>
      <c r="E51" s="18" t="s">
        <v>3</v>
      </c>
      <c r="F51" s="18" t="s">
        <v>4</v>
      </c>
      <c r="G51" s="18" t="s">
        <v>5</v>
      </c>
    </row>
    <row r="52" spans="2:7" x14ac:dyDescent="0.2">
      <c r="B52" t="s">
        <v>432</v>
      </c>
      <c r="C52" s="42">
        <f>ADDDF!B104/(ADDDF!B104+ADDDF!B125)</f>
        <v>0.18435043920480815</v>
      </c>
      <c r="D52" s="42">
        <f>ADDDF!C104/(ADDDF!C104+ADDDF!C125)</f>
        <v>0.27057669246702276</v>
      </c>
      <c r="E52" s="42">
        <f>ADDDF!D104/(ADDDF!D104+ADDDF!D125)</f>
        <v>0.23934776278753761</v>
      </c>
      <c r="F52" s="42">
        <f>ADDDF!E104/(ADDDF!E104+ADDDF!E125)</f>
        <v>0.35506809690249486</v>
      </c>
      <c r="G52" s="42">
        <f>ADDDF!F104/(ADDDF!F104+ADDDF!F125)</f>
        <v>0.33038749150237934</v>
      </c>
    </row>
    <row r="53" spans="2:7" x14ac:dyDescent="0.2">
      <c r="B53" t="s">
        <v>465</v>
      </c>
      <c r="C53" s="42">
        <f>Competitors!B180/(Competitors!B180+Competitors!B185)</f>
        <v>0.27703134996801021</v>
      </c>
      <c r="D53" s="42">
        <f>Competitors!C180/(Competitors!C180+Competitors!C185)</f>
        <v>0.53868621499341385</v>
      </c>
      <c r="E53" s="42">
        <f>Competitors!D180/(Competitors!D180+Competitors!D185)</f>
        <v>0.42439134355275021</v>
      </c>
      <c r="F53" s="42">
        <f>Competitors!E180/(Competitors!E180+Competitors!E185)</f>
        <v>0.36857981075162183</v>
      </c>
      <c r="G53" s="42">
        <f>Competitors!F180/(Competitors!F180+Competitors!F185)</f>
        <v>0.38929832977192447</v>
      </c>
    </row>
    <row r="54" spans="2:7" x14ac:dyDescent="0.2">
      <c r="B54" t="s">
        <v>334</v>
      </c>
      <c r="C54" s="42">
        <f>Competitors!L195/(Competitors!L195+Competitors!L202)</f>
        <v>0.21609035232213811</v>
      </c>
      <c r="D54" s="42">
        <f>Competitors!M195/(Competitors!M195+Competitors!M202)</f>
        <v>0.37452422030722332</v>
      </c>
      <c r="E54" s="42">
        <f>Competitors!N195/(Competitors!N195+Competitors!N202)</f>
        <v>0.24078683639072879</v>
      </c>
      <c r="F54" s="42">
        <f>Competitors!O195/(Competitors!O195+Competitors!O202)</f>
        <v>0.25234120037517571</v>
      </c>
      <c r="G54" s="42">
        <f>Competitors!P195/(Competitors!P195+Competitors!P202)</f>
        <v>0.21646236626046747</v>
      </c>
    </row>
    <row r="55" spans="2:7" x14ac:dyDescent="0.2">
      <c r="B55" t="s">
        <v>335</v>
      </c>
      <c r="C55" s="42">
        <f>Competitors!L195/(Competitors!L195+Competitors!L202)</f>
        <v>0.21609035232213811</v>
      </c>
      <c r="D55" s="42">
        <f>Competitors!M195/(Competitors!M195+Competitors!M202)</f>
        <v>0.37452422030722332</v>
      </c>
      <c r="E55" s="42">
        <f>Competitors!N195/(Competitors!N195+Competitors!N202)</f>
        <v>0.24078683639072879</v>
      </c>
      <c r="F55" s="42">
        <f>Competitors!O195/(Competitors!O195+Competitors!O202)</f>
        <v>0.25234120037517571</v>
      </c>
      <c r="G55" s="42">
        <f>Competitors!P195/(Competitors!P195+Competitors!P202)</f>
        <v>0.21646236626046747</v>
      </c>
    </row>
    <row r="57" spans="2:7" x14ac:dyDescent="0.2">
      <c r="B57" s="97" t="s">
        <v>439</v>
      </c>
      <c r="C57" s="97"/>
      <c r="D57" s="97"/>
      <c r="E57" s="97"/>
      <c r="F57" s="97"/>
      <c r="G57" s="97"/>
    </row>
    <row r="58" spans="2:7" x14ac:dyDescent="0.2">
      <c r="B58" s="41" t="s">
        <v>462</v>
      </c>
      <c r="C58" s="18" t="s">
        <v>1</v>
      </c>
      <c r="D58" s="18" t="s">
        <v>2</v>
      </c>
      <c r="E58" s="18" t="s">
        <v>3</v>
      </c>
      <c r="F58" s="18" t="s">
        <v>4</v>
      </c>
      <c r="G58" s="18" t="s">
        <v>5</v>
      </c>
    </row>
    <row r="59" spans="2:7" x14ac:dyDescent="0.2">
      <c r="B59" t="s">
        <v>432</v>
      </c>
      <c r="C59" s="42">
        <f>ADDDF!B3/ADDDF!B74</f>
        <v>1.249029015307288</v>
      </c>
      <c r="D59" s="42">
        <f>ADDDF!C3/ADDDF!C74</f>
        <v>1.3769117480457687</v>
      </c>
      <c r="E59" s="42">
        <f>ADDDF!D3/ADDDF!D74</f>
        <v>1.5553820412716117</v>
      </c>
      <c r="F59" s="42">
        <f>ADDDF!E3/ADDDF!E74</f>
        <v>1.2673652371178568</v>
      </c>
      <c r="G59" s="42">
        <f>ADDDF!F3/ADDDF!F74</f>
        <v>1.2195698122591072</v>
      </c>
    </row>
    <row r="60" spans="2:7" x14ac:dyDescent="0.2">
      <c r="B60" t="s">
        <v>465</v>
      </c>
      <c r="C60" s="42">
        <f>Competitors!B115/Competitors!B156</f>
        <v>2.1008136282735825</v>
      </c>
      <c r="D60" s="42">
        <f>Competitors!C115/Competitors!C156</f>
        <v>2.4814099468855626</v>
      </c>
      <c r="E60" s="42">
        <f>Competitors!D115/Competitors!D156</f>
        <v>2.717696919578251</v>
      </c>
      <c r="F60" s="42">
        <f>Competitors!E115/Competitors!E156</f>
        <v>2.6293569431500465</v>
      </c>
      <c r="G60" s="42">
        <f>Competitors!F115/Competitors!F156</f>
        <v>2.7227744165946413</v>
      </c>
    </row>
    <row r="61" spans="2:7" x14ac:dyDescent="0.2">
      <c r="B61" t="s">
        <v>334</v>
      </c>
      <c r="C61" s="42">
        <f>Competitors!L132/Competitors!L176</f>
        <v>1.9002755960053699</v>
      </c>
      <c r="D61" s="42">
        <f>Competitors!M132/Competitors!M176</f>
        <v>2.2804993504453481</v>
      </c>
      <c r="E61" s="42">
        <f>Competitors!N132/Competitors!N176</f>
        <v>2.3006166148108917</v>
      </c>
      <c r="F61" s="42">
        <f>Competitors!O132/Competitors!O176</f>
        <v>2.1811523549054419</v>
      </c>
      <c r="G61" s="42">
        <f>Competitors!P132/Competitors!P176</f>
        <v>2.4571238334015466</v>
      </c>
    </row>
    <row r="62" spans="2:7" x14ac:dyDescent="0.2">
      <c r="B62" t="s">
        <v>335</v>
      </c>
      <c r="C62" s="42">
        <f>Competitors!W144/Competitors!W208</f>
        <v>1.5916351273333762</v>
      </c>
      <c r="D62" s="42">
        <f>Competitors!X144/Competitors!X208</f>
        <v>1.3952370781717214</v>
      </c>
      <c r="E62" s="42">
        <f>Competitors!Y144/Competitors!Y208</f>
        <v>1.6122892122892123</v>
      </c>
      <c r="F62" s="42">
        <f>Competitors!Z144/Competitors!Z208</f>
        <v>1.4774533943017938</v>
      </c>
      <c r="G62" s="42">
        <f>Competitors!AA144/Competitors!AA208</f>
        <v>1.549385148983131</v>
      </c>
    </row>
    <row r="64" spans="2:7" x14ac:dyDescent="0.2">
      <c r="B64" s="97" t="s">
        <v>451</v>
      </c>
      <c r="C64" s="97"/>
      <c r="D64" s="97"/>
      <c r="E64" s="97"/>
      <c r="F64" s="97"/>
      <c r="G64" s="97"/>
    </row>
    <row r="65" spans="2:7" x14ac:dyDescent="0.2">
      <c r="B65" s="41" t="s">
        <v>462</v>
      </c>
      <c r="C65" s="18" t="s">
        <v>1</v>
      </c>
      <c r="D65" s="18" t="s">
        <v>2</v>
      </c>
      <c r="E65" s="18" t="s">
        <v>3</v>
      </c>
      <c r="F65" s="18" t="s">
        <v>4</v>
      </c>
      <c r="G65" s="18" t="s">
        <v>5</v>
      </c>
    </row>
    <row r="66" spans="2:7" x14ac:dyDescent="0.2">
      <c r="B66" t="s">
        <v>432</v>
      </c>
      <c r="C66" s="42">
        <f>(ADDDF!B3-ADDDF!B8)/ADDDF!B74</f>
        <v>0.78238519533927342</v>
      </c>
      <c r="D66" s="42">
        <f>(ADDDF!C3-ADDDF!C8)/ADDDF!C74</f>
        <v>0.87878101280163134</v>
      </c>
      <c r="E66" s="42">
        <f>(ADDDF!D3-ADDDF!D8)/ADDDF!D74</f>
        <v>1.1081985499163414</v>
      </c>
      <c r="F66" s="42">
        <f>(ADDDF!E3-ADDDF!E8)/ADDDF!E74</f>
        <v>0.62212379820676245</v>
      </c>
      <c r="G66" s="42">
        <f>(ADDDF!F3-ADDDF!F8)/ADDDF!F74</f>
        <v>0.65696879273902775</v>
      </c>
    </row>
    <row r="67" spans="2:7" x14ac:dyDescent="0.2">
      <c r="B67" t="s">
        <v>465</v>
      </c>
      <c r="C67" s="42">
        <f>(Competitors!B115-Competitors!B123)/Competitors!B156</f>
        <v>1.386092041698449</v>
      </c>
      <c r="D67" s="42">
        <f>(Competitors!C115-Competitors!C123)/Competitors!C156</f>
        <v>1.5921052631578947</v>
      </c>
      <c r="E67" s="42">
        <f>(Competitors!D115-Competitors!D123)/Competitors!D156</f>
        <v>2.0091999173041142</v>
      </c>
      <c r="F67" s="42">
        <f>(Competitors!E115-Competitors!E123)/Competitors!E156</f>
        <v>1.844641192917055</v>
      </c>
      <c r="G67" s="42">
        <f>(Competitors!F115-Competitors!F123)/Competitors!F156</f>
        <v>1.8094209161624892</v>
      </c>
    </row>
    <row r="68" spans="2:7" x14ac:dyDescent="0.2">
      <c r="B68" t="s">
        <v>334</v>
      </c>
      <c r="C68" s="42">
        <f>(Competitors!L132-Competitors!L135)/Competitors!L176</f>
        <v>1.2728126193294136</v>
      </c>
      <c r="D68" s="42">
        <f>(Competitors!M132-Competitors!M135)/Competitors!M176</f>
        <v>1.6465297648866888</v>
      </c>
      <c r="E68" s="42">
        <f>(Competitors!N132-Competitors!N135)/Competitors!N176</f>
        <v>1.741091426144137</v>
      </c>
      <c r="F68" s="42">
        <f>(Competitors!O132-Competitors!O135)/Competitors!O176</f>
        <v>1.3039610403488564</v>
      </c>
      <c r="G68" s="42">
        <f>(Competitors!P132-Competitors!P135)/Competitors!P176</f>
        <v>1.6347067812650959</v>
      </c>
    </row>
    <row r="69" spans="2:7" x14ac:dyDescent="0.2">
      <c r="B69" t="s">
        <v>335</v>
      </c>
      <c r="C69" s="42">
        <f>(Competitors!W144-Competitors!W150)/Competitors!W208</f>
        <v>0.8795304381294502</v>
      </c>
      <c r="D69" s="42">
        <f>(Competitors!X144-Competitors!X150)/Competitors!X208</f>
        <v>0.78764416915847923</v>
      </c>
      <c r="E69" s="42">
        <f>(Competitors!Y144-Competitors!Y150)/Competitors!Y208</f>
        <v>0.93481173481173485</v>
      </c>
      <c r="F69" s="42">
        <f>(Competitors!Z144-Competitors!Z150)/Competitors!Z208</f>
        <v>0.68888498065423853</v>
      </c>
      <c r="G69" s="42">
        <f>(Competitors!AA144-Competitors!AA150)/Competitors!AA208</f>
        <v>0.8393504650796153</v>
      </c>
    </row>
    <row r="71" spans="2:7" x14ac:dyDescent="0.2">
      <c r="B71" s="97" t="s">
        <v>473</v>
      </c>
      <c r="C71" s="97"/>
      <c r="D71" s="97"/>
      <c r="E71" s="97"/>
      <c r="F71" s="97"/>
      <c r="G71" s="97"/>
    </row>
    <row r="72" spans="2:7" x14ac:dyDescent="0.2">
      <c r="B72" s="41" t="s">
        <v>462</v>
      </c>
      <c r="C72" s="18" t="s">
        <v>1</v>
      </c>
      <c r="D72" s="18" t="s">
        <v>2</v>
      </c>
      <c r="E72" s="18" t="s">
        <v>3</v>
      </c>
      <c r="F72" s="18" t="s">
        <v>4</v>
      </c>
      <c r="G72" s="18" t="s">
        <v>5</v>
      </c>
    </row>
    <row r="73" spans="2:7" x14ac:dyDescent="0.2">
      <c r="B73" t="s">
        <v>432</v>
      </c>
      <c r="C73" s="42">
        <f>ADDDF!B73/((Dividend!K23*'Income Statement'!B69)+ADDDF!B73)</f>
        <v>0.19217300277237961</v>
      </c>
      <c r="D73" s="42">
        <f>ADDDF!C73/((Dividend!L23*'Income Statement'!C69)+ADDDF!C73)</f>
        <v>0.1980994214071114</v>
      </c>
      <c r="E73" s="42">
        <f>ADDDF!D73/((Dividend!M23*'Income Statement'!D69)+ADDDF!D73)</f>
        <v>0.22532246483339527</v>
      </c>
      <c r="F73" s="42">
        <f>ADDDF!E73/((Dividend!N23*'Income Statement'!E69)+ADDDF!E73)</f>
        <v>0.39017034768424302</v>
      </c>
      <c r="G73" s="42">
        <f>ADDDF!F73/((Dividend!O23*'Income Statement'!F69)+ADDDF!F73)</f>
        <v>0.28482506450802209</v>
      </c>
    </row>
    <row r="74" spans="2:7" x14ac:dyDescent="0.2">
      <c r="B74" t="s">
        <v>465</v>
      </c>
      <c r="C74" s="42">
        <f>Competitors!B155/((Dividend!K24*Competitors!B36)+Competitors!B155)</f>
        <v>8.4004703691050606E-2</v>
      </c>
      <c r="D74" s="42">
        <f>Competitors!C155/((Dividend!L24*Competitors!C36)+Competitors!C155)</f>
        <v>9.3728874577475446E-2</v>
      </c>
      <c r="E74" s="42">
        <f>Competitors!D155/((Dividend!M24*Competitors!D36)+Competitors!D155)</f>
        <v>8.6970024995393441E-2</v>
      </c>
      <c r="F74" s="42">
        <f>Competitors!E155/((Dividend!N24*Competitors!E36)+Competitors!E155)</f>
        <v>0.12746225361123878</v>
      </c>
      <c r="G74" s="42">
        <f>Competitors!F155/((Dividend!O24*Competitors!F36)+Competitors!F155)</f>
        <v>0.16693324994452113</v>
      </c>
    </row>
    <row r="75" spans="2:7" x14ac:dyDescent="0.2">
      <c r="B75" t="s">
        <v>334</v>
      </c>
      <c r="C75" s="42">
        <f>Competitors!L175/((Dividend!K25*Competitors!L43)+Competitors!L175)</f>
        <v>0.25807976759624895</v>
      </c>
      <c r="D75" s="42">
        <f>Competitors!M175/((Dividend!L25*Competitors!M43)+Competitors!M175)</f>
        <v>0.25851056770288033</v>
      </c>
      <c r="E75" s="42">
        <f>Competitors!N175/((Dividend!M25*Competitors!N43)+Competitors!N175)</f>
        <v>0.22734637638481373</v>
      </c>
      <c r="F75" s="42">
        <f>Competitors!O175/((Dividend!N25*Competitors!O43)+Competitors!O175)</f>
        <v>0.38867783696179986</v>
      </c>
      <c r="G75" s="42">
        <f>Competitors!P175/((Dividend!O25*Competitors!P43)+Competitors!P175)</f>
        <v>0.40251464612901872</v>
      </c>
    </row>
    <row r="76" spans="2:7" x14ac:dyDescent="0.2">
      <c r="B76" t="s">
        <v>335</v>
      </c>
      <c r="C76" s="42">
        <f>Competitors!W207/((Dividend!K26*Competitors!W64)+Competitors!W207)</f>
        <v>0.19387575320934666</v>
      </c>
      <c r="D76" s="42">
        <f>Competitors!X207/((Dividend!L26*Competitors!X64)+Competitors!X207)</f>
        <v>0.17463504406089453</v>
      </c>
      <c r="E76" s="42">
        <f>Competitors!Y207/((Dividend!M26*Competitors!Y64)+Competitors!Y207)</f>
        <v>0.17663578738960495</v>
      </c>
      <c r="F76" s="42">
        <f>Competitors!Z207/((Dividend!N26*Competitors!Z64)+Competitors!Z207)</f>
        <v>0.3328785039454582</v>
      </c>
      <c r="G76" s="42">
        <f>Competitors!AA207/((Dividend!O26*Competitors!AA64)+Competitors!AA207)</f>
        <v>0.37543908403164489</v>
      </c>
    </row>
    <row r="78" spans="2:7" x14ac:dyDescent="0.2">
      <c r="B78" t="s">
        <v>474</v>
      </c>
    </row>
    <row r="79" spans="2:7" x14ac:dyDescent="0.2">
      <c r="C79" t="s">
        <v>475</v>
      </c>
      <c r="D79" t="s">
        <v>432</v>
      </c>
    </row>
    <row r="80" spans="2:7" x14ac:dyDescent="0.2">
      <c r="B80" s="47" t="s">
        <v>463</v>
      </c>
      <c r="C80" s="42">
        <f>AVERAGE(C73:G76)</f>
        <v>0.23191413877182704</v>
      </c>
      <c r="D80" s="42">
        <f>AVERAGE(C73:G73)</f>
        <v>0.25811806024103029</v>
      </c>
    </row>
    <row r="81" spans="2:4" x14ac:dyDescent="0.2">
      <c r="B81" s="45" t="s">
        <v>464</v>
      </c>
      <c r="C81" s="42">
        <f>MEDIAN(C73:G76)</f>
        <v>0.21171094312025335</v>
      </c>
      <c r="D81" s="42">
        <f>MEDIAN(C73:G73)</f>
        <v>0.22532246483339527</v>
      </c>
    </row>
    <row r="82" spans="2:4" x14ac:dyDescent="0.2">
      <c r="B82" s="45" t="s">
        <v>466</v>
      </c>
      <c r="C82" t="e">
        <f>MODE(C73:G76)</f>
        <v>#N/A</v>
      </c>
      <c r="D82" t="e">
        <f>MODE(C73:G73)</f>
        <v>#N/A</v>
      </c>
    </row>
    <row r="83" spans="2:4" x14ac:dyDescent="0.2">
      <c r="B83" s="45" t="s">
        <v>467</v>
      </c>
      <c r="C83" s="42">
        <f>MIN(C73:G76)</f>
        <v>8.4004703691050606E-2</v>
      </c>
      <c r="D83" s="42">
        <f>MIN(C73:G73)</f>
        <v>0.19217300277237961</v>
      </c>
    </row>
    <row r="84" spans="2:4" x14ac:dyDescent="0.2">
      <c r="B84" s="48" t="s">
        <v>468</v>
      </c>
      <c r="C84" s="42">
        <f>MAX(C73:G76)</f>
        <v>0.40251464612901872</v>
      </c>
      <c r="D84" s="42">
        <f>MAX(C73:G73)</f>
        <v>0.39017034768424302</v>
      </c>
    </row>
    <row r="85" spans="2:4" x14ac:dyDescent="0.2"/>
  </sheetData>
  <mergeCells count="9">
    <mergeCell ref="B50:G50"/>
    <mergeCell ref="B57:G57"/>
    <mergeCell ref="B64:G64"/>
    <mergeCell ref="B71:G71"/>
    <mergeCell ref="B2:H2"/>
    <mergeCell ref="B20:G20"/>
    <mergeCell ref="B28:G28"/>
    <mergeCell ref="B36:G36"/>
    <mergeCell ref="B43:G4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2E5C-8820-495D-B705-65BA8C8032ED}">
  <dimension ref="B2:J59"/>
  <sheetViews>
    <sheetView topLeftCell="A42" workbookViewId="0">
      <selection activeCell="E49" sqref="E49"/>
    </sheetView>
  </sheetViews>
  <sheetFormatPr defaultRowHeight="12.75" customHeight="1" x14ac:dyDescent="0.2"/>
  <cols>
    <col min="1" max="1" width="26.28515625" customWidth="1"/>
    <col min="2" max="2" width="21.5703125" bestFit="1" customWidth="1"/>
    <col min="3" max="3" width="11.85546875" customWidth="1"/>
    <col min="4" max="4" width="15.42578125" customWidth="1"/>
    <col min="5" max="5" width="16.85546875" customWidth="1"/>
    <col min="6" max="6" width="21.28515625" customWidth="1"/>
    <col min="7" max="7" width="32.28515625" bestFit="1" customWidth="1"/>
  </cols>
  <sheetData>
    <row r="2" spans="2:10" x14ac:dyDescent="0.2">
      <c r="B2" s="99" t="s">
        <v>432</v>
      </c>
      <c r="C2" s="99"/>
      <c r="D2" s="99"/>
      <c r="E2" s="99"/>
      <c r="F2" s="99"/>
    </row>
    <row r="3" spans="2:10" ht="15" x14ac:dyDescent="0.2">
      <c r="B3" s="19" t="s">
        <v>476</v>
      </c>
      <c r="C3" s="20" t="s">
        <v>477</v>
      </c>
      <c r="D3" s="20" t="s">
        <v>478</v>
      </c>
      <c r="E3" s="20" t="s">
        <v>479</v>
      </c>
      <c r="F3" s="21" t="s">
        <v>480</v>
      </c>
      <c r="G3" s="5"/>
      <c r="H3" s="5"/>
      <c r="I3" s="5"/>
      <c r="J3" s="5"/>
    </row>
    <row r="4" spans="2:10" x14ac:dyDescent="0.2">
      <c r="B4" s="22">
        <v>2020</v>
      </c>
      <c r="C4" t="s">
        <v>481</v>
      </c>
      <c r="D4" t="s">
        <v>481</v>
      </c>
      <c r="E4" t="s">
        <v>481</v>
      </c>
      <c r="F4" s="23" t="s">
        <v>481</v>
      </c>
      <c r="G4" s="5"/>
      <c r="H4" s="5"/>
      <c r="I4" s="5"/>
      <c r="J4" s="5"/>
    </row>
    <row r="5" spans="2:10" x14ac:dyDescent="0.2">
      <c r="B5" s="24">
        <v>2020</v>
      </c>
      <c r="C5" s="25" t="s">
        <v>482</v>
      </c>
      <c r="D5" s="25" t="s">
        <v>483</v>
      </c>
      <c r="E5" s="25" t="s">
        <v>484</v>
      </c>
      <c r="F5" s="26" t="s">
        <v>483</v>
      </c>
      <c r="G5" s="5"/>
      <c r="H5" s="5"/>
      <c r="I5" s="5"/>
      <c r="J5" s="5"/>
    </row>
    <row r="6" spans="2:10" x14ac:dyDescent="0.2">
      <c r="B6" s="24">
        <v>2021</v>
      </c>
      <c r="C6" s="25" t="s">
        <v>482</v>
      </c>
      <c r="D6" s="25" t="s">
        <v>483</v>
      </c>
      <c r="E6" s="25" t="s">
        <v>484</v>
      </c>
      <c r="F6" s="26" t="s">
        <v>483</v>
      </c>
      <c r="G6" s="5"/>
      <c r="H6" s="5"/>
      <c r="I6" s="5"/>
      <c r="J6" s="5"/>
    </row>
    <row r="7" spans="2:10" x14ac:dyDescent="0.2">
      <c r="B7" s="24">
        <v>2022</v>
      </c>
      <c r="C7" s="25" t="s">
        <v>482</v>
      </c>
      <c r="D7" s="25" t="s">
        <v>485</v>
      </c>
      <c r="E7" s="25" t="s">
        <v>484</v>
      </c>
      <c r="F7" s="26" t="s">
        <v>485</v>
      </c>
      <c r="G7" s="5"/>
      <c r="H7" s="5"/>
      <c r="I7" s="5"/>
      <c r="J7" s="5"/>
    </row>
    <row r="8" spans="2:10" x14ac:dyDescent="0.2">
      <c r="B8" s="24">
        <v>2023</v>
      </c>
      <c r="C8" s="25" t="s">
        <v>486</v>
      </c>
      <c r="D8" s="25" t="s">
        <v>485</v>
      </c>
      <c r="E8" s="25" t="s">
        <v>487</v>
      </c>
      <c r="F8" s="26" t="s">
        <v>485</v>
      </c>
      <c r="G8" s="6" t="s">
        <v>488</v>
      </c>
      <c r="H8" s="5"/>
      <c r="I8" s="5"/>
      <c r="J8" s="5"/>
    </row>
    <row r="9" spans="2:10" x14ac:dyDescent="0.2">
      <c r="B9" s="27"/>
      <c r="C9" s="28"/>
      <c r="D9" s="28"/>
      <c r="E9" s="28"/>
      <c r="F9" s="29"/>
      <c r="G9" s="6" t="s">
        <v>489</v>
      </c>
      <c r="H9" s="5"/>
      <c r="I9" s="5"/>
      <c r="J9" s="5"/>
    </row>
    <row r="11" spans="2:10" x14ac:dyDescent="0.2">
      <c r="B11" s="100" t="s">
        <v>465</v>
      </c>
      <c r="C11" s="100"/>
      <c r="D11" s="100"/>
      <c r="E11" s="100"/>
      <c r="F11" s="100"/>
    </row>
    <row r="12" spans="2:10" x14ac:dyDescent="0.2">
      <c r="B12" s="30" t="s">
        <v>476</v>
      </c>
      <c r="C12" s="31" t="s">
        <v>477</v>
      </c>
      <c r="D12" s="31" t="s">
        <v>478</v>
      </c>
      <c r="E12" s="31" t="s">
        <v>479</v>
      </c>
      <c r="F12" s="32" t="s">
        <v>480</v>
      </c>
      <c r="G12" s="15"/>
    </row>
    <row r="13" spans="2:10" x14ac:dyDescent="0.2">
      <c r="B13" s="22">
        <v>2019</v>
      </c>
      <c r="C13" t="s">
        <v>490</v>
      </c>
      <c r="D13" t="s">
        <v>483</v>
      </c>
      <c r="E13" t="s">
        <v>491</v>
      </c>
      <c r="F13" s="23" t="s">
        <v>483</v>
      </c>
    </row>
    <row r="14" spans="2:10" x14ac:dyDescent="0.2">
      <c r="B14" s="22">
        <v>2020</v>
      </c>
      <c r="C14" t="s">
        <v>490</v>
      </c>
      <c r="D14" t="s">
        <v>483</v>
      </c>
      <c r="E14" t="s">
        <v>491</v>
      </c>
      <c r="F14" s="23" t="s">
        <v>485</v>
      </c>
    </row>
    <row r="15" spans="2:10" x14ac:dyDescent="0.2">
      <c r="B15" s="22">
        <v>2021</v>
      </c>
      <c r="C15" t="s">
        <v>490</v>
      </c>
      <c r="D15" t="s">
        <v>483</v>
      </c>
      <c r="E15" t="s">
        <v>491</v>
      </c>
      <c r="F15" s="23" t="s">
        <v>485</v>
      </c>
    </row>
    <row r="16" spans="2:10" x14ac:dyDescent="0.2">
      <c r="B16" s="22">
        <v>2022</v>
      </c>
      <c r="C16" t="s">
        <v>490</v>
      </c>
      <c r="D16" t="s">
        <v>483</v>
      </c>
      <c r="E16" t="s">
        <v>491</v>
      </c>
      <c r="F16" s="23" t="s">
        <v>483</v>
      </c>
    </row>
    <row r="17" spans="2:7" x14ac:dyDescent="0.2">
      <c r="B17" s="22">
        <v>2023</v>
      </c>
      <c r="C17" t="s">
        <v>490</v>
      </c>
      <c r="D17" t="s">
        <v>483</v>
      </c>
      <c r="E17" t="s">
        <v>491</v>
      </c>
      <c r="F17" s="23" t="s">
        <v>483</v>
      </c>
    </row>
    <row r="18" spans="2:7" x14ac:dyDescent="0.2">
      <c r="B18" s="33"/>
      <c r="C18" s="34"/>
      <c r="D18" s="34"/>
      <c r="E18" s="34"/>
      <c r="F18" s="35"/>
    </row>
    <row r="20" spans="2:7" x14ac:dyDescent="0.2"/>
    <row r="21" spans="2:7" x14ac:dyDescent="0.2">
      <c r="B21" s="100" t="s">
        <v>334</v>
      </c>
      <c r="C21" s="100"/>
      <c r="D21" s="100"/>
      <c r="E21" s="100"/>
      <c r="F21" s="100"/>
    </row>
    <row r="22" spans="2:7" x14ac:dyDescent="0.2">
      <c r="B22" s="30" t="s">
        <v>476</v>
      </c>
      <c r="C22" s="31" t="s">
        <v>477</v>
      </c>
      <c r="D22" s="31" t="s">
        <v>478</v>
      </c>
      <c r="E22" s="31" t="s">
        <v>479</v>
      </c>
      <c r="F22" s="32" t="s">
        <v>480</v>
      </c>
      <c r="G22" s="15"/>
    </row>
    <row r="23" spans="2:7" x14ac:dyDescent="0.2">
      <c r="B23" s="22">
        <v>2019</v>
      </c>
      <c r="C23" t="s">
        <v>492</v>
      </c>
      <c r="D23" t="s">
        <v>483</v>
      </c>
      <c r="E23" t="s">
        <v>493</v>
      </c>
      <c r="F23" s="23" t="s">
        <v>483</v>
      </c>
    </row>
    <row r="24" spans="2:7" x14ac:dyDescent="0.2">
      <c r="B24" s="22">
        <v>2020</v>
      </c>
      <c r="C24" t="s">
        <v>492</v>
      </c>
      <c r="D24" t="s">
        <v>483</v>
      </c>
      <c r="E24" t="s">
        <v>493</v>
      </c>
      <c r="F24" s="23" t="s">
        <v>483</v>
      </c>
    </row>
    <row r="25" spans="2:7" x14ac:dyDescent="0.2">
      <c r="B25" s="22">
        <v>2021</v>
      </c>
      <c r="C25" t="s">
        <v>492</v>
      </c>
      <c r="D25" t="s">
        <v>483</v>
      </c>
      <c r="E25" t="s">
        <v>494</v>
      </c>
      <c r="F25" s="23" t="s">
        <v>495</v>
      </c>
    </row>
    <row r="26" spans="2:7" x14ac:dyDescent="0.2">
      <c r="B26" s="22">
        <v>2022</v>
      </c>
      <c r="C26" t="s">
        <v>492</v>
      </c>
      <c r="D26" t="s">
        <v>495</v>
      </c>
      <c r="E26" t="s">
        <v>494</v>
      </c>
      <c r="F26" s="23" t="s">
        <v>495</v>
      </c>
    </row>
    <row r="27" spans="2:7" x14ac:dyDescent="0.2">
      <c r="B27" s="22">
        <v>2023</v>
      </c>
      <c r="C27" t="s">
        <v>492</v>
      </c>
      <c r="D27" t="s">
        <v>483</v>
      </c>
      <c r="E27" t="s">
        <v>494</v>
      </c>
      <c r="F27" s="23" t="s">
        <v>483</v>
      </c>
    </row>
    <row r="28" spans="2:7" x14ac:dyDescent="0.2">
      <c r="B28" s="33"/>
      <c r="C28" s="34"/>
      <c r="D28" s="34"/>
      <c r="E28" s="34"/>
      <c r="F28" s="35"/>
    </row>
    <row r="30" spans="2:7" x14ac:dyDescent="0.2"/>
    <row r="31" spans="2:7" x14ac:dyDescent="0.2">
      <c r="B31" s="100" t="s">
        <v>335</v>
      </c>
      <c r="C31" s="100"/>
      <c r="D31" s="100"/>
      <c r="E31" s="100"/>
      <c r="F31" s="100"/>
    </row>
    <row r="32" spans="2:7" ht="15" x14ac:dyDescent="0.2">
      <c r="B32" s="36" t="s">
        <v>476</v>
      </c>
      <c r="C32" s="37" t="s">
        <v>477</v>
      </c>
      <c r="D32" s="37" t="s">
        <v>478</v>
      </c>
      <c r="E32" s="37" t="s">
        <v>479</v>
      </c>
      <c r="F32" s="38" t="s">
        <v>480</v>
      </c>
    </row>
    <row r="33" spans="2:9" x14ac:dyDescent="0.2">
      <c r="B33" s="22">
        <v>2019</v>
      </c>
      <c r="C33" t="s">
        <v>481</v>
      </c>
      <c r="D33" t="s">
        <v>481</v>
      </c>
      <c r="E33" t="s">
        <v>481</v>
      </c>
      <c r="F33" s="23" t="s">
        <v>481</v>
      </c>
    </row>
    <row r="34" spans="2:9" x14ac:dyDescent="0.2">
      <c r="B34" s="22">
        <v>2020</v>
      </c>
      <c r="C34" t="s">
        <v>481</v>
      </c>
      <c r="D34" t="s">
        <v>481</v>
      </c>
      <c r="E34" t="s">
        <v>481</v>
      </c>
      <c r="F34" s="23" t="s">
        <v>481</v>
      </c>
    </row>
    <row r="35" spans="2:9" x14ac:dyDescent="0.2">
      <c r="B35" s="22">
        <v>2021</v>
      </c>
      <c r="C35" t="s">
        <v>481</v>
      </c>
      <c r="D35" t="s">
        <v>481</v>
      </c>
      <c r="E35" t="s">
        <v>481</v>
      </c>
      <c r="F35" s="23" t="s">
        <v>481</v>
      </c>
    </row>
    <row r="36" spans="2:9" x14ac:dyDescent="0.2">
      <c r="B36" s="22">
        <v>2022</v>
      </c>
      <c r="C36" t="s">
        <v>481</v>
      </c>
      <c r="D36" t="s">
        <v>481</v>
      </c>
      <c r="E36" t="s">
        <v>481</v>
      </c>
      <c r="F36" s="23" t="s">
        <v>481</v>
      </c>
    </row>
    <row r="37" spans="2:9" x14ac:dyDescent="0.2">
      <c r="B37" s="22">
        <v>2023</v>
      </c>
      <c r="C37" t="s">
        <v>481</v>
      </c>
      <c r="D37" t="s">
        <v>481</v>
      </c>
      <c r="E37" t="s">
        <v>481</v>
      </c>
      <c r="F37" s="23" t="s">
        <v>481</v>
      </c>
    </row>
    <row r="38" spans="2:9" x14ac:dyDescent="0.2">
      <c r="B38" s="33"/>
      <c r="C38" s="34"/>
      <c r="D38" s="34"/>
      <c r="E38" s="34"/>
      <c r="F38" s="35"/>
    </row>
    <row r="43" spans="2:9" ht="12.75" customHeight="1" x14ac:dyDescent="0.2">
      <c r="B43" t="s">
        <v>496</v>
      </c>
      <c r="C43" s="42">
        <v>2.4799999999999999E-2</v>
      </c>
      <c r="D43" s="40" t="s">
        <v>497</v>
      </c>
    </row>
    <row r="44" spans="2:9" ht="15" x14ac:dyDescent="0.2">
      <c r="B44" s="55" t="s">
        <v>498</v>
      </c>
      <c r="C44" s="56" t="s">
        <v>499</v>
      </c>
      <c r="D44" s="56" t="s">
        <v>500</v>
      </c>
      <c r="E44" s="57" t="s">
        <v>501</v>
      </c>
    </row>
    <row r="45" spans="2:9" ht="15" x14ac:dyDescent="0.25">
      <c r="B45" s="58" t="s">
        <v>502</v>
      </c>
      <c r="C45" s="39" t="s">
        <v>503</v>
      </c>
      <c r="D45" s="62">
        <v>4.0000000000000001E-3</v>
      </c>
      <c r="E45" s="64">
        <f t="shared" ref="E45:E59" si="0">D45+$C$43</f>
        <v>2.8799999999999999E-2</v>
      </c>
      <c r="I45" s="42">
        <f>2.72%+D45</f>
        <v>3.1200000000000002E-2</v>
      </c>
    </row>
    <row r="46" spans="2:9" ht="15" x14ac:dyDescent="0.25">
      <c r="B46" s="58" t="s">
        <v>504</v>
      </c>
      <c r="C46" s="39" t="s">
        <v>505</v>
      </c>
      <c r="D46" s="62">
        <v>7.0000000000000001E-3</v>
      </c>
      <c r="E46" s="64">
        <f t="shared" si="0"/>
        <v>3.1800000000000002E-2</v>
      </c>
    </row>
    <row r="47" spans="2:9" ht="15" x14ac:dyDescent="0.25">
      <c r="B47" s="58" t="s">
        <v>506</v>
      </c>
      <c r="C47" s="39" t="s">
        <v>507</v>
      </c>
      <c r="D47" s="62">
        <v>8.5000000000000006E-3</v>
      </c>
      <c r="E47" s="64">
        <f t="shared" si="0"/>
        <v>3.3299999999999996E-2</v>
      </c>
    </row>
    <row r="48" spans="2:9" ht="15" x14ac:dyDescent="0.25">
      <c r="B48" s="58" t="s">
        <v>508</v>
      </c>
      <c r="C48" s="39" t="s">
        <v>509</v>
      </c>
      <c r="D48" s="63">
        <v>0.01</v>
      </c>
      <c r="E48" s="64">
        <f t="shared" si="0"/>
        <v>3.4799999999999998E-2</v>
      </c>
    </row>
    <row r="49" spans="2:5" ht="15" x14ac:dyDescent="0.25">
      <c r="B49" s="58" t="s">
        <v>510</v>
      </c>
      <c r="C49" s="39" t="s">
        <v>511</v>
      </c>
      <c r="D49" s="62">
        <v>1.2999999999999999E-2</v>
      </c>
      <c r="E49" s="64">
        <f t="shared" si="0"/>
        <v>3.78E-2</v>
      </c>
    </row>
    <row r="50" spans="2:5" ht="15" x14ac:dyDescent="0.25">
      <c r="B50" s="58" t="s">
        <v>512</v>
      </c>
      <c r="C50" s="39" t="s">
        <v>513</v>
      </c>
      <c r="D50" s="63">
        <v>0.02</v>
      </c>
      <c r="E50" s="64">
        <f t="shared" si="0"/>
        <v>4.48E-2</v>
      </c>
    </row>
    <row r="51" spans="2:5" ht="15" x14ac:dyDescent="0.25">
      <c r="B51" s="58" t="s">
        <v>514</v>
      </c>
      <c r="C51" s="39" t="s">
        <v>515</v>
      </c>
      <c r="D51" s="63">
        <v>0.03</v>
      </c>
      <c r="E51" s="64">
        <f t="shared" si="0"/>
        <v>5.4800000000000001E-2</v>
      </c>
    </row>
    <row r="52" spans="2:5" ht="15" x14ac:dyDescent="0.25">
      <c r="B52" s="58" t="s">
        <v>516</v>
      </c>
      <c r="C52" s="39" t="s">
        <v>517</v>
      </c>
      <c r="D52" s="63">
        <v>0.04</v>
      </c>
      <c r="E52" s="64">
        <f t="shared" si="0"/>
        <v>6.4799999999999996E-2</v>
      </c>
    </row>
    <row r="53" spans="2:5" ht="15" x14ac:dyDescent="0.25">
      <c r="B53" s="58" t="s">
        <v>518</v>
      </c>
      <c r="C53" s="39" t="s">
        <v>519</v>
      </c>
      <c r="D53" s="62">
        <v>5.5E-2</v>
      </c>
      <c r="E53" s="64">
        <f t="shared" si="0"/>
        <v>7.9799999999999996E-2</v>
      </c>
    </row>
    <row r="54" spans="2:5" ht="15" x14ac:dyDescent="0.25">
      <c r="B54" s="58" t="s">
        <v>520</v>
      </c>
      <c r="C54" s="39" t="s">
        <v>521</v>
      </c>
      <c r="D54" s="62">
        <v>6.5000000000000002E-2</v>
      </c>
      <c r="E54" s="64">
        <f t="shared" si="0"/>
        <v>8.9800000000000005E-2</v>
      </c>
    </row>
    <row r="55" spans="2:5" ht="15" x14ac:dyDescent="0.25">
      <c r="B55" s="58" t="s">
        <v>522</v>
      </c>
      <c r="C55" s="39" t="s">
        <v>523</v>
      </c>
      <c r="D55" s="62">
        <v>7.2499999999999995E-2</v>
      </c>
      <c r="E55" s="64">
        <f t="shared" si="0"/>
        <v>9.7299999999999998E-2</v>
      </c>
    </row>
    <row r="56" spans="2:5" ht="15" x14ac:dyDescent="0.25">
      <c r="B56" s="58" t="s">
        <v>524</v>
      </c>
      <c r="C56" s="39" t="s">
        <v>525</v>
      </c>
      <c r="D56" s="62">
        <v>8.7499999999999994E-2</v>
      </c>
      <c r="E56" s="64">
        <f t="shared" si="0"/>
        <v>0.1123</v>
      </c>
    </row>
    <row r="57" spans="2:5" ht="15" x14ac:dyDescent="0.25">
      <c r="B57" s="58" t="s">
        <v>526</v>
      </c>
      <c r="C57" s="39" t="s">
        <v>527</v>
      </c>
      <c r="D57" s="62">
        <v>9.5000000000000001E-2</v>
      </c>
      <c r="E57" s="64">
        <f t="shared" si="0"/>
        <v>0.1198</v>
      </c>
    </row>
    <row r="58" spans="2:5" ht="15" x14ac:dyDescent="0.25">
      <c r="B58" s="58" t="s">
        <v>528</v>
      </c>
      <c r="C58" s="39" t="s">
        <v>529</v>
      </c>
      <c r="D58" s="62">
        <v>0.105</v>
      </c>
      <c r="E58" s="64">
        <f t="shared" si="0"/>
        <v>0.1298</v>
      </c>
    </row>
    <row r="59" spans="2:5" ht="15" x14ac:dyDescent="0.25">
      <c r="B59" s="59" t="s">
        <v>530</v>
      </c>
      <c r="C59" s="60" t="s">
        <v>531</v>
      </c>
      <c r="D59" s="61">
        <v>0.12</v>
      </c>
      <c r="E59" s="64">
        <f t="shared" si="0"/>
        <v>0.14479999999999998</v>
      </c>
    </row>
  </sheetData>
  <mergeCells count="4">
    <mergeCell ref="B2:F2"/>
    <mergeCell ref="B11:F11"/>
    <mergeCell ref="B21:F21"/>
    <mergeCell ref="B31:F31"/>
  </mergeCells>
  <hyperlinks>
    <hyperlink ref="G8" r:id="rId1" display="https://report.adidas-group.com/2023/en/group-management-report-financial-review/business-performance/treasury.html" xr:uid="{28754FD7-838A-4627-B510-4C40D50C9276}"/>
    <hyperlink ref="G9" r:id="rId2" display="https://www.adidas-group.com/en/investors/bonds-and-ratings/ratings" xr:uid="{2781FDF8-1F66-4A31-9F10-D50144A2C9D2}"/>
    <hyperlink ref="D43" r:id="rId3" xr:uid="{C0B53816-3BCF-4C96-8575-0A7303E2AB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6E57-5045-4BB1-A1C7-3B1DC925853E}">
  <dimension ref="A1:S67"/>
  <sheetViews>
    <sheetView topLeftCell="H32" zoomScale="57" workbookViewId="0">
      <selection activeCell="E41" sqref="E41:G41"/>
    </sheetView>
  </sheetViews>
  <sheetFormatPr defaultRowHeight="12.75" x14ac:dyDescent="0.2"/>
  <cols>
    <col min="1" max="1" width="27" customWidth="1"/>
    <col min="2" max="3" width="18" customWidth="1"/>
    <col min="4" max="4" width="19.7109375" customWidth="1"/>
    <col min="5" max="5" width="19" customWidth="1"/>
    <col min="6" max="6" width="21.7109375" bestFit="1" customWidth="1"/>
    <col min="7" max="7" width="17.5703125" customWidth="1"/>
    <col min="8" max="8" width="23" bestFit="1" customWidth="1"/>
    <col min="9" max="9" width="17.140625" customWidth="1"/>
    <col min="10" max="10" width="18.7109375" customWidth="1"/>
    <col min="11" max="11" width="18.85546875" customWidth="1"/>
    <col min="12" max="12" width="15" customWidth="1"/>
    <col min="13" max="13" width="21.42578125" customWidth="1"/>
    <col min="16" max="16" width="16.7109375" customWidth="1"/>
    <col min="17" max="17" width="15" customWidth="1"/>
    <col min="18" max="18" width="12.42578125" customWidth="1"/>
    <col min="19" max="19" width="14" customWidth="1"/>
  </cols>
  <sheetData>
    <row r="1" spans="1:17" x14ac:dyDescent="0.2">
      <c r="A1" s="4" t="s">
        <v>532</v>
      </c>
      <c r="B1" s="42">
        <v>3.9600000000000003E-2</v>
      </c>
      <c r="C1" t="s">
        <v>496</v>
      </c>
      <c r="D1" s="40" t="s">
        <v>533</v>
      </c>
    </row>
    <row r="2" spans="1:17" x14ac:dyDescent="0.2">
      <c r="A2" s="4" t="s">
        <v>534</v>
      </c>
      <c r="B2" s="42">
        <v>5.7000000000000002E-2</v>
      </c>
      <c r="C2" s="4"/>
      <c r="D2" s="40" t="s">
        <v>535</v>
      </c>
    </row>
    <row r="3" spans="1:17" x14ac:dyDescent="0.2">
      <c r="A3" s="4" t="s">
        <v>536</v>
      </c>
      <c r="B3" s="42">
        <f>21%+7.6%</f>
        <v>0.28599999999999998</v>
      </c>
      <c r="C3" s="40" t="s">
        <v>537</v>
      </c>
    </row>
    <row r="4" spans="1:17" x14ac:dyDescent="0.2">
      <c r="A4" s="4" t="s">
        <v>538</v>
      </c>
      <c r="B4" s="4">
        <v>1.03</v>
      </c>
      <c r="I4" s="40" t="s">
        <v>539</v>
      </c>
    </row>
    <row r="5" spans="1:17" x14ac:dyDescent="0.2">
      <c r="A5" s="4" t="s">
        <v>540</v>
      </c>
      <c r="B5">
        <f>Q6</f>
        <v>0.90107887996119451</v>
      </c>
      <c r="P5" s="101" t="s">
        <v>541</v>
      </c>
      <c r="Q5" s="102"/>
    </row>
    <row r="6" spans="1:17" x14ac:dyDescent="0.2">
      <c r="A6" s="4" t="s">
        <v>542</v>
      </c>
      <c r="B6">
        <f>Competitors!F155</f>
        <v>23527000000</v>
      </c>
      <c r="P6" s="4" t="s">
        <v>543</v>
      </c>
      <c r="Q6" s="4">
        <f>B4/(1+(1-B3)*(B6/B7))</f>
        <v>0.90107887996119451</v>
      </c>
    </row>
    <row r="7" spans="1:17" x14ac:dyDescent="0.2">
      <c r="A7" s="4" t="s">
        <v>544</v>
      </c>
      <c r="B7" s="51">
        <f>Dividend!O24*Competitors!F36</f>
        <v>117409572000</v>
      </c>
      <c r="C7" s="4" t="s">
        <v>545</v>
      </c>
      <c r="D7" s="40"/>
    </row>
    <row r="8" spans="1:17" x14ac:dyDescent="0.2">
      <c r="A8" s="4" t="s">
        <v>257</v>
      </c>
      <c r="B8" s="3">
        <f>Competitors!F46</f>
        <v>6548000000</v>
      </c>
    </row>
    <row r="9" spans="1:17" x14ac:dyDescent="0.2">
      <c r="A9" t="s">
        <v>449</v>
      </c>
      <c r="B9">
        <f>Ratios!G31</f>
        <v>18.870317002881844</v>
      </c>
    </row>
    <row r="10" spans="1:17" x14ac:dyDescent="0.2">
      <c r="G10" s="4" t="s">
        <v>546</v>
      </c>
    </row>
    <row r="11" spans="1:17" x14ac:dyDescent="0.2">
      <c r="E11" s="16"/>
      <c r="F11" s="16" t="s">
        <v>547</v>
      </c>
      <c r="G11" s="16"/>
      <c r="H11" s="16"/>
    </row>
    <row r="12" spans="1:17" x14ac:dyDescent="0.2">
      <c r="E12" s="17" t="s">
        <v>473</v>
      </c>
      <c r="F12" s="17" t="s">
        <v>548</v>
      </c>
      <c r="G12" s="17" t="s">
        <v>549</v>
      </c>
      <c r="H12" s="17" t="s">
        <v>550</v>
      </c>
    </row>
    <row r="13" spans="1:17" x14ac:dyDescent="0.2">
      <c r="A13" s="42">
        <f>B6/(B6+B7)</f>
        <v>0.16693324994452113</v>
      </c>
      <c r="E13" s="49">
        <v>0</v>
      </c>
      <c r="F13" s="42">
        <f>E13/(1-E13)</f>
        <v>0</v>
      </c>
      <c r="G13">
        <f>$Q$6*(1+(1-$B$3)*(F13))</f>
        <v>0.90107887996119451</v>
      </c>
      <c r="H13" s="42">
        <f>$B$1+G13*$B$2</f>
        <v>9.0961496157788091E-2</v>
      </c>
    </row>
    <row r="14" spans="1:17" x14ac:dyDescent="0.2">
      <c r="E14" s="49">
        <v>0.1</v>
      </c>
      <c r="F14" s="42">
        <f t="shared" ref="F14:F21" si="0">E14/(1-E14)</f>
        <v>0.11111111111111112</v>
      </c>
      <c r="G14">
        <f t="shared" ref="G14:G22" si="1">$Q$6*(1+(1-$B$3)*(F14))</f>
        <v>0.9725644711047825</v>
      </c>
      <c r="H14" s="42">
        <f t="shared" ref="H14:H22" si="2">$B$1+G14*$B$2</f>
        <v>9.503617485297261E-2</v>
      </c>
    </row>
    <row r="15" spans="1:17" x14ac:dyDescent="0.2">
      <c r="E15" s="49">
        <v>0.2</v>
      </c>
      <c r="F15" s="42">
        <f t="shared" si="0"/>
        <v>0.25</v>
      </c>
      <c r="G15">
        <f t="shared" si="1"/>
        <v>1.0619214600342679</v>
      </c>
      <c r="H15" s="42">
        <f t="shared" si="2"/>
        <v>0.10012952322195327</v>
      </c>
    </row>
    <row r="16" spans="1:17" x14ac:dyDescent="0.2">
      <c r="E16" s="49">
        <v>0.3</v>
      </c>
      <c r="F16" s="42">
        <f t="shared" si="0"/>
        <v>0.4285714285714286</v>
      </c>
      <c r="G16">
        <f t="shared" si="1"/>
        <v>1.1768090172293202</v>
      </c>
      <c r="H16" s="42">
        <f t="shared" si="2"/>
        <v>0.10667811398207125</v>
      </c>
    </row>
    <row r="17" spans="1:13" x14ac:dyDescent="0.2">
      <c r="E17" s="49">
        <v>0.4</v>
      </c>
      <c r="F17" s="42">
        <f t="shared" si="0"/>
        <v>0.66666666666666674</v>
      </c>
      <c r="G17">
        <f t="shared" si="1"/>
        <v>1.329992426822723</v>
      </c>
      <c r="H17" s="42">
        <f t="shared" si="2"/>
        <v>0.11540956832889521</v>
      </c>
    </row>
    <row r="18" spans="1:13" x14ac:dyDescent="0.2">
      <c r="B18" s="67"/>
      <c r="E18" s="49">
        <v>0.5</v>
      </c>
      <c r="F18" s="42">
        <f t="shared" si="0"/>
        <v>1</v>
      </c>
      <c r="G18">
        <f t="shared" si="1"/>
        <v>1.5444492002534873</v>
      </c>
      <c r="H18" s="42">
        <f t="shared" si="2"/>
        <v>0.12763360441444879</v>
      </c>
    </row>
    <row r="19" spans="1:13" x14ac:dyDescent="0.2">
      <c r="E19" s="49">
        <v>0.6</v>
      </c>
      <c r="F19" s="42">
        <f t="shared" si="0"/>
        <v>1.4999999999999998</v>
      </c>
      <c r="G19">
        <f t="shared" si="1"/>
        <v>1.8661343603996337</v>
      </c>
      <c r="H19" s="42">
        <f t="shared" si="2"/>
        <v>0.14596965854277913</v>
      </c>
    </row>
    <row r="20" spans="1:13" x14ac:dyDescent="0.2">
      <c r="E20" s="49">
        <v>0.7</v>
      </c>
      <c r="F20" s="42">
        <f t="shared" si="0"/>
        <v>2.333333333333333</v>
      </c>
      <c r="G20">
        <f t="shared" si="1"/>
        <v>2.4022762939765441</v>
      </c>
      <c r="H20" s="42">
        <f t="shared" si="2"/>
        <v>0.17652974875666302</v>
      </c>
    </row>
    <row r="21" spans="1:13" x14ac:dyDescent="0.2">
      <c r="E21" s="49">
        <v>0.8</v>
      </c>
      <c r="F21" s="42">
        <f t="shared" si="0"/>
        <v>4.0000000000000009</v>
      </c>
      <c r="G21">
        <f t="shared" si="1"/>
        <v>3.4745601611303663</v>
      </c>
      <c r="H21" s="42">
        <f t="shared" si="2"/>
        <v>0.23764992918443087</v>
      </c>
    </row>
    <row r="22" spans="1:13" x14ac:dyDescent="0.2">
      <c r="E22" s="49">
        <v>0.9</v>
      </c>
      <c r="F22" s="42">
        <f>E22/(1-E22)</f>
        <v>9.0000000000000018</v>
      </c>
      <c r="G22">
        <f t="shared" si="1"/>
        <v>6.691411762591831</v>
      </c>
      <c r="H22" s="42">
        <f t="shared" si="2"/>
        <v>0.42101047046773443</v>
      </c>
    </row>
    <row r="24" spans="1:13" ht="15" x14ac:dyDescent="0.25">
      <c r="E24" s="41" t="s">
        <v>551</v>
      </c>
      <c r="F24" s="62">
        <f>B1</f>
        <v>3.9600000000000003E-2</v>
      </c>
    </row>
    <row r="25" spans="1:13" ht="13.15" customHeight="1" x14ac:dyDescent="0.2">
      <c r="E25" s="103" t="s">
        <v>552</v>
      </c>
      <c r="F25" s="103"/>
      <c r="G25" s="103"/>
      <c r="H25" s="103"/>
      <c r="I25" s="103"/>
      <c r="J25" s="103"/>
    </row>
    <row r="26" spans="1:13" x14ac:dyDescent="0.2">
      <c r="D26" s="41" t="s">
        <v>473</v>
      </c>
      <c r="E26" t="s">
        <v>548</v>
      </c>
      <c r="F26" s="41" t="s">
        <v>553</v>
      </c>
      <c r="G26" s="41" t="s">
        <v>257</v>
      </c>
      <c r="H26" s="41" t="s">
        <v>554</v>
      </c>
      <c r="I26" s="41" t="s">
        <v>555</v>
      </c>
      <c r="J26" s="41" t="s">
        <v>556</v>
      </c>
      <c r="K26" s="17" t="s">
        <v>557</v>
      </c>
      <c r="L26" s="17" t="s">
        <v>558</v>
      </c>
      <c r="M26" s="17" t="s">
        <v>559</v>
      </c>
    </row>
    <row r="27" spans="1:13" ht="15" x14ac:dyDescent="0.25">
      <c r="A27" s="49"/>
      <c r="B27" s="49"/>
      <c r="D27" s="49">
        <v>0</v>
      </c>
      <c r="E27" s="42">
        <f t="shared" ref="E27:E36" si="3">D27/(1-D27)</f>
        <v>0</v>
      </c>
      <c r="F27">
        <f t="shared" ref="F27:F36" si="4">$B$7*D27</f>
        <v>0</v>
      </c>
      <c r="G27" s="51">
        <f t="shared" ref="G27:G36" si="5">$B$8</f>
        <v>6548000000</v>
      </c>
      <c r="H27" s="3">
        <f t="shared" ref="H27:H36" si="6">F27*$F$24</f>
        <v>0</v>
      </c>
      <c r="I27" s="53" t="e">
        <f t="shared" ref="I27:I36" si="7">G27/H27</f>
        <v>#DIV/0!</v>
      </c>
      <c r="J27" s="39" t="str">
        <f>'Credit Rating'!C45</f>
        <v>Aaa/AAA</v>
      </c>
      <c r="K27" s="42">
        <f>S42</f>
        <v>4.36E-2</v>
      </c>
      <c r="L27" s="42">
        <f>$B$3</f>
        <v>0.28599999999999998</v>
      </c>
      <c r="M27" s="54">
        <f>K27*(1-L27)</f>
        <v>3.1130399999999999E-2</v>
      </c>
    </row>
    <row r="28" spans="1:13" ht="15" x14ac:dyDescent="0.25">
      <c r="A28" s="49"/>
      <c r="B28" s="49"/>
      <c r="D28" s="49">
        <v>0.1</v>
      </c>
      <c r="E28" s="42">
        <f t="shared" si="3"/>
        <v>0.11111111111111112</v>
      </c>
      <c r="F28">
        <f t="shared" si="4"/>
        <v>11740957200</v>
      </c>
      <c r="G28" s="51">
        <f t="shared" si="5"/>
        <v>6548000000</v>
      </c>
      <c r="H28" s="3">
        <f t="shared" si="6"/>
        <v>464941905.12000006</v>
      </c>
      <c r="I28" s="52">
        <f t="shared" si="7"/>
        <v>14.083479952855576</v>
      </c>
      <c r="J28" s="39" t="str">
        <f>Q42</f>
        <v>Aaa/AAA</v>
      </c>
      <c r="K28" s="42">
        <f>S42</f>
        <v>4.36E-2</v>
      </c>
      <c r="L28" s="42">
        <f t="shared" ref="L28:L31" si="8">$B$3</f>
        <v>0.28599999999999998</v>
      </c>
      <c r="M28" s="54">
        <f t="shared" ref="M28:M36" si="9">K28*(1-L28)</f>
        <v>3.1130399999999999E-2</v>
      </c>
    </row>
    <row r="29" spans="1:13" ht="15" x14ac:dyDescent="0.25">
      <c r="A29" s="49"/>
      <c r="B29" s="49"/>
      <c r="D29" s="49">
        <v>0.2</v>
      </c>
      <c r="E29" s="42">
        <f t="shared" si="3"/>
        <v>0.25</v>
      </c>
      <c r="F29">
        <f t="shared" si="4"/>
        <v>23481914400</v>
      </c>
      <c r="G29" s="51">
        <f t="shared" si="5"/>
        <v>6548000000</v>
      </c>
      <c r="H29" s="3">
        <f t="shared" si="6"/>
        <v>929883810.24000013</v>
      </c>
      <c r="I29" s="52">
        <f t="shared" si="7"/>
        <v>7.0417399764277882</v>
      </c>
      <c r="J29" s="39" t="str">
        <f>Q43</f>
        <v>Aa2/AA</v>
      </c>
      <c r="K29" s="42">
        <f>S43</f>
        <v>4.6600000000000003E-2</v>
      </c>
      <c r="L29" s="42">
        <f t="shared" si="8"/>
        <v>0.28599999999999998</v>
      </c>
      <c r="M29" s="54">
        <f t="shared" si="9"/>
        <v>3.3272400000000001E-2</v>
      </c>
    </row>
    <row r="30" spans="1:13" ht="15" x14ac:dyDescent="0.25">
      <c r="A30" s="49"/>
      <c r="B30" s="49"/>
      <c r="D30" s="49">
        <v>0.3</v>
      </c>
      <c r="E30" s="42">
        <f t="shared" si="3"/>
        <v>0.4285714285714286</v>
      </c>
      <c r="F30">
        <f t="shared" si="4"/>
        <v>35222871600</v>
      </c>
      <c r="G30" s="51">
        <f t="shared" si="5"/>
        <v>6548000000</v>
      </c>
      <c r="H30" s="3">
        <f t="shared" si="6"/>
        <v>1394825715.3600001</v>
      </c>
      <c r="I30" s="52">
        <f t="shared" si="7"/>
        <v>4.6944933176185257</v>
      </c>
      <c r="J30" s="39" t="str">
        <f>Q44</f>
        <v>A1/A+</v>
      </c>
      <c r="K30" s="42">
        <f>S44</f>
        <v>4.8100000000000004E-2</v>
      </c>
      <c r="L30" s="42">
        <f t="shared" si="8"/>
        <v>0.28599999999999998</v>
      </c>
      <c r="M30" s="54">
        <f t="shared" si="9"/>
        <v>3.4343400000000003E-2</v>
      </c>
    </row>
    <row r="31" spans="1:13" ht="15" x14ac:dyDescent="0.25">
      <c r="A31" s="49"/>
      <c r="B31" s="49"/>
      <c r="D31" s="49">
        <v>0.4</v>
      </c>
      <c r="E31" s="42">
        <f t="shared" si="3"/>
        <v>0.66666666666666674</v>
      </c>
      <c r="F31">
        <f t="shared" si="4"/>
        <v>46963828800</v>
      </c>
      <c r="G31" s="51">
        <f t="shared" si="5"/>
        <v>6548000000</v>
      </c>
      <c r="H31" s="3">
        <f t="shared" si="6"/>
        <v>1859767620.4800003</v>
      </c>
      <c r="I31" s="52">
        <f t="shared" si="7"/>
        <v>3.5208699882138941</v>
      </c>
      <c r="J31" s="39" t="str">
        <f>Q46</f>
        <v>A3/A-</v>
      </c>
      <c r="K31" s="42">
        <f>S46</f>
        <v>5.2600000000000001E-2</v>
      </c>
      <c r="L31" s="42">
        <f t="shared" si="8"/>
        <v>0.28599999999999998</v>
      </c>
      <c r="M31" s="54">
        <f t="shared" si="9"/>
        <v>3.7556399999999997E-2</v>
      </c>
    </row>
    <row r="32" spans="1:13" ht="15" x14ac:dyDescent="0.25">
      <c r="A32" s="49"/>
      <c r="B32" s="49"/>
      <c r="D32" s="49">
        <v>0.5</v>
      </c>
      <c r="E32" s="42">
        <f t="shared" si="3"/>
        <v>1</v>
      </c>
      <c r="F32">
        <f t="shared" si="4"/>
        <v>58704786000</v>
      </c>
      <c r="G32" s="51">
        <f t="shared" si="5"/>
        <v>6548000000</v>
      </c>
      <c r="H32" s="3">
        <f t="shared" si="6"/>
        <v>2324709525.6000004</v>
      </c>
      <c r="I32" s="52">
        <f t="shared" si="7"/>
        <v>2.8166959905711151</v>
      </c>
      <c r="J32" s="39" t="str">
        <f>Q46</f>
        <v>A3/A-</v>
      </c>
      <c r="K32" s="42">
        <f>S46</f>
        <v>5.2600000000000001E-2</v>
      </c>
      <c r="L32" s="42">
        <f>$B$3</f>
        <v>0.28599999999999998</v>
      </c>
      <c r="M32" s="54">
        <f t="shared" si="9"/>
        <v>3.7556399999999997E-2</v>
      </c>
    </row>
    <row r="33" spans="1:19" ht="15" x14ac:dyDescent="0.25">
      <c r="A33" s="49"/>
      <c r="B33" s="49"/>
      <c r="D33" s="49">
        <v>0.6</v>
      </c>
      <c r="E33" s="42">
        <f t="shared" si="3"/>
        <v>1.4999999999999998</v>
      </c>
      <c r="F33">
        <f t="shared" si="4"/>
        <v>70445743200</v>
      </c>
      <c r="G33" s="51">
        <f t="shared" si="5"/>
        <v>6548000000</v>
      </c>
      <c r="H33" s="3">
        <f t="shared" si="6"/>
        <v>2789651430.7200003</v>
      </c>
      <c r="I33" s="52">
        <f t="shared" si="7"/>
        <v>2.3472466588092629</v>
      </c>
      <c r="J33" s="39" t="str">
        <f>Q47</f>
        <v>Baa2/BBB</v>
      </c>
      <c r="K33" s="42">
        <f>S47</f>
        <v>5.96E-2</v>
      </c>
      <c r="L33" s="42">
        <f>$B$3</f>
        <v>0.28599999999999998</v>
      </c>
      <c r="M33" s="54">
        <f t="shared" si="9"/>
        <v>4.2554399999999999E-2</v>
      </c>
    </row>
    <row r="34" spans="1:19" ht="15" x14ac:dyDescent="0.25">
      <c r="A34" s="49"/>
      <c r="B34" s="49"/>
      <c r="D34" s="49">
        <v>0.7</v>
      </c>
      <c r="E34" s="42">
        <f t="shared" si="3"/>
        <v>2.333333333333333</v>
      </c>
      <c r="F34">
        <f t="shared" si="4"/>
        <v>82186700400</v>
      </c>
      <c r="G34" s="51">
        <f t="shared" si="5"/>
        <v>6548000000</v>
      </c>
      <c r="H34" s="3">
        <f t="shared" si="6"/>
        <v>3254593335.8400002</v>
      </c>
      <c r="I34" s="52">
        <f t="shared" si="7"/>
        <v>2.0119257075507968</v>
      </c>
      <c r="J34" s="39" t="str">
        <f>Q48</f>
        <v>Ba1/BB+</v>
      </c>
      <c r="K34" s="42">
        <f>S48</f>
        <v>6.9599999999999995E-2</v>
      </c>
      <c r="L34" s="42">
        <f>$B$3</f>
        <v>0.28599999999999998</v>
      </c>
      <c r="M34" s="54">
        <f t="shared" si="9"/>
        <v>4.9694399999999993E-2</v>
      </c>
    </row>
    <row r="35" spans="1:19" ht="15" x14ac:dyDescent="0.25">
      <c r="A35" s="49"/>
      <c r="B35" s="49"/>
      <c r="D35" s="49">
        <v>0.8</v>
      </c>
      <c r="E35" s="42">
        <f t="shared" si="3"/>
        <v>4.0000000000000009</v>
      </c>
      <c r="F35">
        <f t="shared" si="4"/>
        <v>93927657600</v>
      </c>
      <c r="G35" s="51">
        <f t="shared" si="5"/>
        <v>6548000000</v>
      </c>
      <c r="H35" s="3">
        <f t="shared" si="6"/>
        <v>3719535240.9600005</v>
      </c>
      <c r="I35" s="52">
        <f t="shared" si="7"/>
        <v>1.760434994106947</v>
      </c>
      <c r="J35" s="39" t="str">
        <f>Q49</f>
        <v>Ba2/BB</v>
      </c>
      <c r="K35" s="42">
        <f>S49</f>
        <v>7.9600000000000004E-2</v>
      </c>
      <c r="L35" s="42">
        <f>$B$3</f>
        <v>0.28599999999999998</v>
      </c>
      <c r="M35" s="54">
        <f t="shared" si="9"/>
        <v>5.68344E-2</v>
      </c>
    </row>
    <row r="36" spans="1:19" ht="15" x14ac:dyDescent="0.25">
      <c r="A36" s="49"/>
      <c r="B36" s="49"/>
      <c r="D36" s="49">
        <v>0.9</v>
      </c>
      <c r="E36" s="42">
        <f t="shared" si="3"/>
        <v>9.0000000000000018</v>
      </c>
      <c r="F36">
        <f t="shared" si="4"/>
        <v>105668614800</v>
      </c>
      <c r="G36" s="51">
        <f t="shared" si="5"/>
        <v>6548000000</v>
      </c>
      <c r="H36" s="3">
        <f t="shared" si="6"/>
        <v>4184477146.0800004</v>
      </c>
      <c r="I36" s="52">
        <f t="shared" si="7"/>
        <v>1.5648311058728417</v>
      </c>
      <c r="J36" s="39" t="str">
        <f>Q50</f>
        <v>B1/B+</v>
      </c>
      <c r="K36" s="42">
        <f>S50</f>
        <v>9.4600000000000004E-2</v>
      </c>
      <c r="L36" s="42">
        <f>$B$3</f>
        <v>0.28599999999999998</v>
      </c>
      <c r="M36" s="54">
        <f t="shared" si="9"/>
        <v>6.7544400000000004E-2</v>
      </c>
    </row>
    <row r="37" spans="1:19" ht="15" x14ac:dyDescent="0.25">
      <c r="I37" s="39"/>
      <c r="J37" s="39"/>
    </row>
    <row r="38" spans="1:19" ht="15" x14ac:dyDescent="0.25">
      <c r="I38" s="39"/>
      <c r="J38" s="39"/>
    </row>
    <row r="39" spans="1:19" ht="15" x14ac:dyDescent="0.25">
      <c r="G39" s="3"/>
      <c r="I39" s="39"/>
      <c r="J39" s="39"/>
    </row>
    <row r="40" spans="1:19" ht="15" x14ac:dyDescent="0.25">
      <c r="E40" t="s">
        <v>560</v>
      </c>
      <c r="G40" s="3"/>
      <c r="I40" s="39"/>
      <c r="J40" s="39"/>
      <c r="P40" t="s">
        <v>496</v>
      </c>
      <c r="Q40" s="42">
        <f>B1</f>
        <v>3.9600000000000003E-2</v>
      </c>
      <c r="R40" s="40" t="s">
        <v>497</v>
      </c>
    </row>
    <row r="41" spans="1:19" ht="15" x14ac:dyDescent="0.25">
      <c r="D41" s="41" t="s">
        <v>473</v>
      </c>
      <c r="E41" s="84" t="s">
        <v>561</v>
      </c>
      <c r="F41" s="84" t="s">
        <v>562</v>
      </c>
      <c r="G41" s="84" t="s">
        <v>563</v>
      </c>
      <c r="I41" s="39"/>
      <c r="J41" s="39"/>
      <c r="P41" s="55" t="s">
        <v>498</v>
      </c>
      <c r="Q41" s="56" t="s">
        <v>499</v>
      </c>
      <c r="R41" s="56" t="s">
        <v>500</v>
      </c>
      <c r="S41" s="57" t="s">
        <v>501</v>
      </c>
    </row>
    <row r="42" spans="1:19" ht="15" x14ac:dyDescent="0.25">
      <c r="C42" s="49"/>
      <c r="D42" s="49">
        <v>0</v>
      </c>
      <c r="E42" s="42">
        <f t="shared" ref="E42:E51" si="10">H13</f>
        <v>9.0961496157788091E-2</v>
      </c>
      <c r="F42" s="54">
        <f t="shared" ref="F42:F51" si="11">M27</f>
        <v>3.1130399999999999E-2</v>
      </c>
      <c r="G42" s="42">
        <f>((E42*(100%-D42))+(F42*D42))</f>
        <v>9.0961496157788091E-2</v>
      </c>
      <c r="P42" s="58" t="s">
        <v>502</v>
      </c>
      <c r="Q42" s="39" t="s">
        <v>503</v>
      </c>
      <c r="R42" s="62">
        <v>4.0000000000000001E-3</v>
      </c>
      <c r="S42" s="64">
        <f t="shared" ref="S42:S56" si="12">$Q$40+R42</f>
        <v>4.36E-2</v>
      </c>
    </row>
    <row r="43" spans="1:19" ht="15" x14ac:dyDescent="0.25">
      <c r="C43" s="49"/>
      <c r="D43" s="49">
        <v>0.1</v>
      </c>
      <c r="E43" s="42">
        <f t="shared" si="10"/>
        <v>9.503617485297261E-2</v>
      </c>
      <c r="F43" s="54">
        <f t="shared" si="11"/>
        <v>3.1130399999999999E-2</v>
      </c>
      <c r="G43" s="42">
        <f>((E43*(100%-D43))+(F43*D43))</f>
        <v>8.8645597367675355E-2</v>
      </c>
      <c r="P43" s="58" t="s">
        <v>504</v>
      </c>
      <c r="Q43" s="39" t="s">
        <v>505</v>
      </c>
      <c r="R43" s="62">
        <v>7.0000000000000001E-3</v>
      </c>
      <c r="S43" s="64">
        <f t="shared" si="12"/>
        <v>4.6600000000000003E-2</v>
      </c>
    </row>
    <row r="44" spans="1:19" ht="15" x14ac:dyDescent="0.25">
      <c r="C44" s="49"/>
      <c r="D44" s="49">
        <v>0.2</v>
      </c>
      <c r="E44" s="42">
        <f t="shared" si="10"/>
        <v>0.10012952322195327</v>
      </c>
      <c r="F44" s="54">
        <f t="shared" si="11"/>
        <v>3.3272400000000001E-2</v>
      </c>
      <c r="G44" s="42">
        <f t="shared" ref="G44:G51" si="13">((E44*(100%-D44))+(F44*D44))</f>
        <v>8.6758098577562628E-2</v>
      </c>
      <c r="H44" s="3"/>
      <c r="P44" s="58" t="s">
        <v>506</v>
      </c>
      <c r="Q44" s="39" t="s">
        <v>507</v>
      </c>
      <c r="R44" s="62">
        <v>8.5000000000000006E-3</v>
      </c>
      <c r="S44" s="64">
        <f t="shared" si="12"/>
        <v>4.8100000000000004E-2</v>
      </c>
    </row>
    <row r="45" spans="1:19" ht="15" x14ac:dyDescent="0.25">
      <c r="C45" s="49"/>
      <c r="D45" s="49">
        <v>0.3</v>
      </c>
      <c r="E45" s="42">
        <f t="shared" si="10"/>
        <v>0.10667811398207125</v>
      </c>
      <c r="F45" s="54">
        <f t="shared" si="11"/>
        <v>3.4343400000000003E-2</v>
      </c>
      <c r="G45" s="42">
        <f t="shared" si="13"/>
        <v>8.4977699787449859E-2</v>
      </c>
      <c r="P45" s="58" t="s">
        <v>508</v>
      </c>
      <c r="Q45" s="39" t="s">
        <v>509</v>
      </c>
      <c r="R45" s="63">
        <v>0.01</v>
      </c>
      <c r="S45" s="64">
        <f t="shared" si="12"/>
        <v>4.9600000000000005E-2</v>
      </c>
    </row>
    <row r="46" spans="1:19" ht="15" x14ac:dyDescent="0.25">
      <c r="C46" s="49"/>
      <c r="D46" s="49">
        <v>0.4</v>
      </c>
      <c r="E46" s="42">
        <f t="shared" si="10"/>
        <v>0.11540956832889521</v>
      </c>
      <c r="F46" s="54">
        <f t="shared" si="11"/>
        <v>3.7556399999999997E-2</v>
      </c>
      <c r="G46" s="42">
        <f t="shared" si="13"/>
        <v>8.426830099733712E-2</v>
      </c>
      <c r="P46" s="58" t="s">
        <v>510</v>
      </c>
      <c r="Q46" s="39" t="s">
        <v>511</v>
      </c>
      <c r="R46" s="62">
        <v>1.2999999999999999E-2</v>
      </c>
      <c r="S46" s="64">
        <f t="shared" si="12"/>
        <v>5.2600000000000001E-2</v>
      </c>
    </row>
    <row r="47" spans="1:19" ht="15" x14ac:dyDescent="0.25">
      <c r="C47" s="49"/>
      <c r="D47" s="76">
        <v>0.5</v>
      </c>
      <c r="E47" s="66">
        <f t="shared" si="10"/>
        <v>0.12763360441444879</v>
      </c>
      <c r="F47" s="65">
        <f t="shared" si="11"/>
        <v>3.7556399999999997E-2</v>
      </c>
      <c r="G47" s="66">
        <f t="shared" si="13"/>
        <v>8.2595002207224391E-2</v>
      </c>
      <c r="P47" s="58" t="s">
        <v>512</v>
      </c>
      <c r="Q47" s="39" t="s">
        <v>513</v>
      </c>
      <c r="R47" s="63">
        <v>0.02</v>
      </c>
      <c r="S47" s="64">
        <f t="shared" si="12"/>
        <v>5.96E-2</v>
      </c>
    </row>
    <row r="48" spans="1:19" ht="15" x14ac:dyDescent="0.25">
      <c r="C48" s="49"/>
      <c r="D48" s="49">
        <v>0.6</v>
      </c>
      <c r="E48" s="42">
        <f t="shared" si="10"/>
        <v>0.14596965854277913</v>
      </c>
      <c r="F48" s="54">
        <f t="shared" si="11"/>
        <v>4.2554399999999999E-2</v>
      </c>
      <c r="G48" s="42">
        <f t="shared" si="13"/>
        <v>8.3920503417111658E-2</v>
      </c>
      <c r="P48" s="58" t="s">
        <v>514</v>
      </c>
      <c r="Q48" s="39" t="s">
        <v>515</v>
      </c>
      <c r="R48" s="63">
        <v>0.03</v>
      </c>
      <c r="S48" s="64">
        <f t="shared" si="12"/>
        <v>6.9599999999999995E-2</v>
      </c>
    </row>
    <row r="49" spans="3:19" ht="15" x14ac:dyDescent="0.25">
      <c r="C49" s="49"/>
      <c r="D49" s="49">
        <v>0.7</v>
      </c>
      <c r="E49" s="42">
        <f t="shared" si="10"/>
        <v>0.17652974875666302</v>
      </c>
      <c r="F49" s="54">
        <f t="shared" si="11"/>
        <v>4.9694399999999993E-2</v>
      </c>
      <c r="G49" s="42">
        <f t="shared" si="13"/>
        <v>8.7745004626998913E-2</v>
      </c>
      <c r="P49" s="58" t="s">
        <v>516</v>
      </c>
      <c r="Q49" s="39" t="s">
        <v>517</v>
      </c>
      <c r="R49" s="63">
        <v>0.04</v>
      </c>
      <c r="S49" s="64">
        <f t="shared" si="12"/>
        <v>7.9600000000000004E-2</v>
      </c>
    </row>
    <row r="50" spans="3:19" ht="15" x14ac:dyDescent="0.25">
      <c r="C50" s="49"/>
      <c r="D50" s="49">
        <v>0.8</v>
      </c>
      <c r="E50" s="42">
        <f t="shared" si="10"/>
        <v>0.23764992918443087</v>
      </c>
      <c r="F50" s="54">
        <f t="shared" si="11"/>
        <v>5.68344E-2</v>
      </c>
      <c r="G50" s="42">
        <f t="shared" si="13"/>
        <v>9.2997505836886166E-2</v>
      </c>
      <c r="P50" s="58" t="s">
        <v>518</v>
      </c>
      <c r="Q50" s="39" t="s">
        <v>519</v>
      </c>
      <c r="R50" s="62">
        <v>5.5E-2</v>
      </c>
      <c r="S50" s="64">
        <f t="shared" si="12"/>
        <v>9.4600000000000004E-2</v>
      </c>
    </row>
    <row r="51" spans="3:19" ht="15" x14ac:dyDescent="0.25">
      <c r="C51" s="49"/>
      <c r="D51" s="49">
        <v>0.9</v>
      </c>
      <c r="E51" s="42">
        <f t="shared" si="10"/>
        <v>0.42101047046773443</v>
      </c>
      <c r="F51" s="54">
        <f t="shared" si="11"/>
        <v>6.7544400000000004E-2</v>
      </c>
      <c r="G51" s="42">
        <f t="shared" si="13"/>
        <v>0.10289100704677344</v>
      </c>
      <c r="P51" s="58" t="s">
        <v>520</v>
      </c>
      <c r="Q51" s="39" t="s">
        <v>521</v>
      </c>
      <c r="R51" s="62">
        <v>6.5000000000000002E-2</v>
      </c>
      <c r="S51" s="64">
        <f t="shared" si="12"/>
        <v>0.1046</v>
      </c>
    </row>
    <row r="52" spans="3:19" ht="15" x14ac:dyDescent="0.25">
      <c r="P52" s="58" t="s">
        <v>522</v>
      </c>
      <c r="Q52" s="39" t="s">
        <v>523</v>
      </c>
      <c r="R52" s="62">
        <v>7.2499999999999995E-2</v>
      </c>
      <c r="S52" s="64">
        <f t="shared" si="12"/>
        <v>0.11210000000000001</v>
      </c>
    </row>
    <row r="53" spans="3:19" ht="15" x14ac:dyDescent="0.25">
      <c r="P53" s="58" t="s">
        <v>524</v>
      </c>
      <c r="Q53" s="39" t="s">
        <v>525</v>
      </c>
      <c r="R53" s="62">
        <v>8.7499999999999994E-2</v>
      </c>
      <c r="S53" s="64">
        <f t="shared" si="12"/>
        <v>0.12709999999999999</v>
      </c>
    </row>
    <row r="54" spans="3:19" ht="15" x14ac:dyDescent="0.25">
      <c r="E54" s="3"/>
      <c r="P54" s="58" t="s">
        <v>526</v>
      </c>
      <c r="Q54" s="39" t="s">
        <v>527</v>
      </c>
      <c r="R54" s="62">
        <v>9.5000000000000001E-2</v>
      </c>
      <c r="S54" s="64">
        <f t="shared" si="12"/>
        <v>0.1346</v>
      </c>
    </row>
    <row r="55" spans="3:19" ht="15" x14ac:dyDescent="0.25">
      <c r="E55" s="3"/>
      <c r="P55" s="58" t="s">
        <v>528</v>
      </c>
      <c r="Q55" s="39" t="s">
        <v>529</v>
      </c>
      <c r="R55" s="62">
        <v>0.105</v>
      </c>
      <c r="S55" s="64">
        <f t="shared" si="12"/>
        <v>0.14460000000000001</v>
      </c>
    </row>
    <row r="56" spans="3:19" ht="15" x14ac:dyDescent="0.25">
      <c r="E56" s="3"/>
      <c r="P56" s="59" t="s">
        <v>530</v>
      </c>
      <c r="Q56" s="60" t="s">
        <v>531</v>
      </c>
      <c r="R56" s="61">
        <v>0.12</v>
      </c>
      <c r="S56" s="64">
        <f t="shared" si="12"/>
        <v>0.15959999999999999</v>
      </c>
    </row>
    <row r="57" spans="3:19" x14ac:dyDescent="0.2">
      <c r="E57" s="3"/>
    </row>
    <row r="58" spans="3:19" x14ac:dyDescent="0.2">
      <c r="E58" s="3"/>
    </row>
    <row r="59" spans="3:19" x14ac:dyDescent="0.2">
      <c r="E59" s="3"/>
    </row>
    <row r="60" spans="3:19" x14ac:dyDescent="0.2">
      <c r="E60" s="3"/>
    </row>
    <row r="61" spans="3:19" x14ac:dyDescent="0.2">
      <c r="E61" s="3"/>
    </row>
    <row r="62" spans="3:19" x14ac:dyDescent="0.2">
      <c r="E62" s="3"/>
    </row>
    <row r="63" spans="3:19" x14ac:dyDescent="0.2">
      <c r="E63" s="3"/>
    </row>
    <row r="64" spans="3:19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</sheetData>
  <mergeCells count="2">
    <mergeCell ref="P5:Q5"/>
    <mergeCell ref="E25:J25"/>
  </mergeCells>
  <hyperlinks>
    <hyperlink ref="I4" r:id="rId1" display="https://finance.yahoo.com/quote/ADS.DE/" xr:uid="{F24EB80F-C2C4-496C-9B7D-1D7BE4452B77}"/>
    <hyperlink ref="C3" r:id="rId2" xr:uid="{6A01B77F-AAE3-4110-B7CF-6B8F51CA709F}"/>
    <hyperlink ref="D2" r:id="rId3" xr:uid="{D70186EF-9568-44AC-9FBC-30839FF68904}"/>
    <hyperlink ref="D1" r:id="rId4" xr:uid="{67663061-B460-4B3F-A489-D45F7AD46765}"/>
    <hyperlink ref="R40" r:id="rId5" xr:uid="{EE8FC172-E305-4410-8886-E01EA4CD2125}"/>
  </hyperlinks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C71-D860-4620-8117-8DB6B44AC1C2}">
  <dimension ref="A1:T74"/>
  <sheetViews>
    <sheetView zoomScale="57" workbookViewId="0">
      <selection activeCell="D21" sqref="D21"/>
    </sheetView>
  </sheetViews>
  <sheetFormatPr defaultRowHeight="12.75" x14ac:dyDescent="0.2"/>
  <cols>
    <col min="1" max="1" width="27" customWidth="1"/>
    <col min="2" max="2" width="20" customWidth="1"/>
    <col min="3" max="3" width="18" customWidth="1"/>
    <col min="4" max="4" width="19.7109375" customWidth="1"/>
    <col min="5" max="5" width="19" customWidth="1"/>
    <col min="6" max="6" width="21.7109375" bestFit="1" customWidth="1"/>
    <col min="7" max="7" width="17.5703125" customWidth="1"/>
    <col min="8" max="8" width="23" bestFit="1" customWidth="1"/>
    <col min="9" max="9" width="17.140625" customWidth="1"/>
    <col min="10" max="10" width="18.7109375" customWidth="1"/>
    <col min="11" max="11" width="18.85546875" customWidth="1"/>
    <col min="12" max="12" width="15" customWidth="1"/>
    <col min="13" max="13" width="16.140625" customWidth="1"/>
    <col min="16" max="16" width="16.7109375" customWidth="1"/>
    <col min="17" max="17" width="18.140625" customWidth="1"/>
    <col min="18" max="18" width="16.28515625" customWidth="1"/>
    <col min="19" max="19" width="14.28515625" customWidth="1"/>
  </cols>
  <sheetData>
    <row r="1" spans="1:17" x14ac:dyDescent="0.2">
      <c r="A1" s="4" t="s">
        <v>532</v>
      </c>
      <c r="B1" s="42">
        <v>3.9600000000000003E-2</v>
      </c>
      <c r="C1" t="s">
        <v>496</v>
      </c>
      <c r="D1" s="40" t="s">
        <v>533</v>
      </c>
    </row>
    <row r="2" spans="1:17" x14ac:dyDescent="0.2">
      <c r="A2" s="4" t="s">
        <v>534</v>
      </c>
      <c r="B2" s="42">
        <v>5.7000000000000002E-2</v>
      </c>
      <c r="C2" s="4"/>
      <c r="D2" s="40" t="s">
        <v>564</v>
      </c>
    </row>
    <row r="3" spans="1:17" x14ac:dyDescent="0.2">
      <c r="A3" s="4" t="s">
        <v>536</v>
      </c>
      <c r="B3" s="42">
        <f>21%+8.25%</f>
        <v>0.29249999999999998</v>
      </c>
      <c r="C3" s="40" t="s">
        <v>565</v>
      </c>
    </row>
    <row r="4" spans="1:17" x14ac:dyDescent="0.2">
      <c r="A4" s="4" t="s">
        <v>538</v>
      </c>
      <c r="B4">
        <v>1.66</v>
      </c>
      <c r="I4" s="40" t="s">
        <v>539</v>
      </c>
    </row>
    <row r="5" spans="1:17" x14ac:dyDescent="0.2">
      <c r="A5" s="4" t="s">
        <v>540</v>
      </c>
      <c r="B5">
        <f>Q6</f>
        <v>1.1241818362178773</v>
      </c>
      <c r="P5" s="101" t="s">
        <v>541</v>
      </c>
      <c r="Q5" s="102"/>
    </row>
    <row r="6" spans="1:17" x14ac:dyDescent="0.2">
      <c r="A6" s="4" t="s">
        <v>542</v>
      </c>
      <c r="B6">
        <f>Competitors!P175</f>
        <v>2607448000</v>
      </c>
      <c r="P6" s="4" t="s">
        <v>543</v>
      </c>
      <c r="Q6" s="4">
        <f>B4/(1+(1-B3)*(B6/B7))</f>
        <v>1.1241818362178773</v>
      </c>
    </row>
    <row r="7" spans="1:17" x14ac:dyDescent="0.2">
      <c r="A7" s="4" t="s">
        <v>544</v>
      </c>
      <c r="B7">
        <f>Dividend!O25*Competitors!P43</f>
        <v>3870447959.9999995</v>
      </c>
      <c r="C7" s="4" t="s">
        <v>545</v>
      </c>
      <c r="D7" s="40" t="s">
        <v>566</v>
      </c>
    </row>
    <row r="8" spans="1:17" x14ac:dyDescent="0.2">
      <c r="A8" s="4" t="s">
        <v>257</v>
      </c>
      <c r="B8" s="3">
        <f>Competitors!P51</f>
        <v>234179000</v>
      </c>
    </row>
    <row r="9" spans="1:17" x14ac:dyDescent="0.2">
      <c r="A9" t="s">
        <v>449</v>
      </c>
      <c r="B9">
        <f>Ratios!G32</f>
        <v>52.88595302619693</v>
      </c>
    </row>
    <row r="10" spans="1:17" x14ac:dyDescent="0.2">
      <c r="A10" t="s">
        <v>551</v>
      </c>
      <c r="G10" s="4" t="s">
        <v>546</v>
      </c>
    </row>
    <row r="11" spans="1:17" x14ac:dyDescent="0.2">
      <c r="E11" s="16"/>
      <c r="F11" s="16" t="s">
        <v>547</v>
      </c>
      <c r="G11" s="16"/>
      <c r="H11" s="16"/>
    </row>
    <row r="12" spans="1:17" x14ac:dyDescent="0.2">
      <c r="E12" s="17" t="s">
        <v>473</v>
      </c>
      <c r="F12" s="17" t="s">
        <v>548</v>
      </c>
      <c r="G12" s="17" t="s">
        <v>549</v>
      </c>
      <c r="H12" s="17" t="s">
        <v>550</v>
      </c>
    </row>
    <row r="13" spans="1:17" x14ac:dyDescent="0.2">
      <c r="A13" s="42">
        <f>B6/(B6+B7)</f>
        <v>0.40251464612901872</v>
      </c>
      <c r="B13" s="3">
        <f>A13+1</f>
        <v>1.4025146461290188</v>
      </c>
      <c r="E13" s="49">
        <v>0</v>
      </c>
      <c r="F13" s="42">
        <f>E13/(1-E13)</f>
        <v>0</v>
      </c>
      <c r="G13">
        <f>$Q$6*(1+(1-$B$3)*(F13))</f>
        <v>1.1241818362178773</v>
      </c>
      <c r="H13" s="42">
        <f>$B$1+G13*$B$2</f>
        <v>0.10367836466441901</v>
      </c>
    </row>
    <row r="14" spans="1:17" x14ac:dyDescent="0.2">
      <c r="E14" s="49">
        <v>0.1</v>
      </c>
      <c r="F14" s="42">
        <f t="shared" ref="F14:F21" si="0">E14/(1-E14)</f>
        <v>0.11111111111111112</v>
      </c>
      <c r="G14">
        <f t="shared" ref="G14:G22" si="1">$Q$6*(1+(1-$B$3)*(F14))</f>
        <v>1.2125550194538939</v>
      </c>
      <c r="H14" s="42">
        <f t="shared" ref="H14:H22" si="2">$B$1+G14*$B$2</f>
        <v>0.10871563610887194</v>
      </c>
    </row>
    <row r="15" spans="1:17" x14ac:dyDescent="0.2">
      <c r="E15" s="49">
        <v>0.2</v>
      </c>
      <c r="F15" s="42">
        <f t="shared" si="0"/>
        <v>0.25</v>
      </c>
      <c r="G15">
        <f t="shared" si="1"/>
        <v>1.3230214984989142</v>
      </c>
      <c r="H15" s="42">
        <f t="shared" si="2"/>
        <v>0.11501222541443812</v>
      </c>
    </row>
    <row r="16" spans="1:17" x14ac:dyDescent="0.2">
      <c r="E16" s="49">
        <v>0.3</v>
      </c>
      <c r="F16" s="42">
        <f t="shared" si="0"/>
        <v>0.4285714285714286</v>
      </c>
      <c r="G16">
        <f t="shared" si="1"/>
        <v>1.4650498286996549</v>
      </c>
      <c r="H16" s="42">
        <f t="shared" si="2"/>
        <v>0.12310784023588034</v>
      </c>
    </row>
    <row r="17" spans="1:13" x14ac:dyDescent="0.2">
      <c r="E17" s="49">
        <v>0.4</v>
      </c>
      <c r="F17" s="42">
        <f t="shared" si="0"/>
        <v>0.66666666666666674</v>
      </c>
      <c r="G17">
        <f t="shared" si="1"/>
        <v>1.6544209356339761</v>
      </c>
      <c r="H17" s="42">
        <f t="shared" si="2"/>
        <v>0.13390199333113664</v>
      </c>
    </row>
    <row r="18" spans="1:13" x14ac:dyDescent="0.2">
      <c r="B18" s="67"/>
      <c r="E18" s="49">
        <v>0.5</v>
      </c>
      <c r="F18" s="42">
        <f t="shared" si="0"/>
        <v>1</v>
      </c>
      <c r="G18">
        <f t="shared" si="1"/>
        <v>1.9195404853420255</v>
      </c>
      <c r="H18" s="42">
        <f t="shared" si="2"/>
        <v>0.14901380766449546</v>
      </c>
    </row>
    <row r="19" spans="1:13" x14ac:dyDescent="0.2">
      <c r="E19" s="49">
        <v>0.6</v>
      </c>
      <c r="F19" s="42">
        <f t="shared" si="0"/>
        <v>1.4999999999999998</v>
      </c>
      <c r="G19">
        <f t="shared" si="1"/>
        <v>2.3172198099040995</v>
      </c>
      <c r="H19" s="42">
        <f t="shared" si="2"/>
        <v>0.17168152916453366</v>
      </c>
    </row>
    <row r="20" spans="1:13" x14ac:dyDescent="0.2">
      <c r="E20" s="49">
        <v>0.7</v>
      </c>
      <c r="F20" s="42">
        <f t="shared" si="0"/>
        <v>2.333333333333333</v>
      </c>
      <c r="G20">
        <f t="shared" si="1"/>
        <v>2.9800186841742224</v>
      </c>
      <c r="H20" s="42">
        <f t="shared" si="2"/>
        <v>0.20946106499793068</v>
      </c>
    </row>
    <row r="21" spans="1:13" x14ac:dyDescent="0.2">
      <c r="E21" s="49">
        <v>0.8</v>
      </c>
      <c r="F21" s="42">
        <f t="shared" si="0"/>
        <v>4.0000000000000009</v>
      </c>
      <c r="G21">
        <f t="shared" si="1"/>
        <v>4.3056164327144701</v>
      </c>
      <c r="H21" s="42">
        <f t="shared" si="2"/>
        <v>0.28502013666472481</v>
      </c>
    </row>
    <row r="22" spans="1:13" x14ac:dyDescent="0.2">
      <c r="E22" s="49">
        <v>0.9</v>
      </c>
      <c r="F22" s="42">
        <f>E22/(1-E22)</f>
        <v>9.0000000000000018</v>
      </c>
      <c r="G22">
        <f t="shared" si="1"/>
        <v>8.2824096783352132</v>
      </c>
      <c r="H22" s="42">
        <f t="shared" si="2"/>
        <v>0.51169735166510721</v>
      </c>
    </row>
    <row r="24" spans="1:13" ht="15" x14ac:dyDescent="0.25">
      <c r="E24" s="41" t="s">
        <v>567</v>
      </c>
      <c r="F24" s="62">
        <f>B1</f>
        <v>3.9600000000000003E-2</v>
      </c>
    </row>
    <row r="25" spans="1:13" ht="13.15" customHeight="1" x14ac:dyDescent="0.2">
      <c r="E25" s="103" t="s">
        <v>552</v>
      </c>
      <c r="F25" s="103"/>
      <c r="G25" s="103"/>
      <c r="H25" s="103"/>
      <c r="I25" s="103"/>
      <c r="J25" s="103"/>
    </row>
    <row r="26" spans="1:13" x14ac:dyDescent="0.2">
      <c r="D26" s="41" t="s">
        <v>473</v>
      </c>
      <c r="E26" t="s">
        <v>548</v>
      </c>
      <c r="F26" s="41" t="s">
        <v>553</v>
      </c>
      <c r="G26" s="41" t="s">
        <v>257</v>
      </c>
      <c r="H26" s="41" t="s">
        <v>554</v>
      </c>
      <c r="I26" s="41" t="s">
        <v>555</v>
      </c>
      <c r="J26" s="41" t="s">
        <v>556</v>
      </c>
      <c r="K26" s="17" t="s">
        <v>557</v>
      </c>
      <c r="L26" s="17" t="s">
        <v>558</v>
      </c>
      <c r="M26" s="17" t="s">
        <v>559</v>
      </c>
    </row>
    <row r="27" spans="1:13" ht="15" x14ac:dyDescent="0.25">
      <c r="A27" s="49"/>
      <c r="B27" s="49"/>
      <c r="D27" s="49">
        <v>0</v>
      </c>
      <c r="E27" s="42">
        <f t="shared" ref="E27:E36" si="3">D27/(1-D27)</f>
        <v>0</v>
      </c>
      <c r="F27">
        <f t="shared" ref="F27:F36" si="4">$B$7*D27</f>
        <v>0</v>
      </c>
      <c r="G27" s="51">
        <f t="shared" ref="G27:G36" si="5">$B$8</f>
        <v>234179000</v>
      </c>
      <c r="H27" s="3">
        <f t="shared" ref="H27:H36" si="6">F27*$F$24</f>
        <v>0</v>
      </c>
      <c r="I27" s="53" t="e">
        <f t="shared" ref="I27:I36" si="7">G27/H27</f>
        <v>#DIV/0!</v>
      </c>
      <c r="J27" s="39" t="str">
        <f>R39</f>
        <v>Aaa/AAA</v>
      </c>
      <c r="K27" s="42">
        <f>T39</f>
        <v>4.36E-2</v>
      </c>
      <c r="L27" s="42">
        <f>$B$3</f>
        <v>0.29249999999999998</v>
      </c>
      <c r="M27" s="54">
        <f>K27*(1-L27)</f>
        <v>3.0846999999999999E-2</v>
      </c>
    </row>
    <row r="28" spans="1:13" ht="15" x14ac:dyDescent="0.25">
      <c r="A28" s="49"/>
      <c r="B28" s="49"/>
      <c r="D28" s="49">
        <v>0.1</v>
      </c>
      <c r="E28" s="42">
        <f t="shared" si="3"/>
        <v>0.11111111111111112</v>
      </c>
      <c r="F28">
        <f t="shared" si="4"/>
        <v>387044796</v>
      </c>
      <c r="G28" s="51">
        <f t="shared" si="5"/>
        <v>234179000</v>
      </c>
      <c r="H28" s="3">
        <f t="shared" si="6"/>
        <v>15326973.921600001</v>
      </c>
      <c r="I28" s="52">
        <f t="shared" si="7"/>
        <v>15.278880305914541</v>
      </c>
      <c r="J28" s="39" t="str">
        <f>R39</f>
        <v>Aaa/AAA</v>
      </c>
      <c r="K28" s="42">
        <f>T39</f>
        <v>4.36E-2</v>
      </c>
      <c r="L28" s="42">
        <f t="shared" ref="L28:L31" si="8">$B$3</f>
        <v>0.29249999999999998</v>
      </c>
      <c r="M28" s="54">
        <f t="shared" ref="M28:M36" si="9">K28*(1-L28)</f>
        <v>3.0846999999999999E-2</v>
      </c>
    </row>
    <row r="29" spans="1:13" ht="15" x14ac:dyDescent="0.25">
      <c r="A29" s="49"/>
      <c r="B29" s="49"/>
      <c r="D29" s="49">
        <v>0.2</v>
      </c>
      <c r="E29" s="42">
        <f t="shared" si="3"/>
        <v>0.25</v>
      </c>
      <c r="F29">
        <f t="shared" si="4"/>
        <v>774089592</v>
      </c>
      <c r="G29" s="51">
        <f t="shared" si="5"/>
        <v>234179000</v>
      </c>
      <c r="H29" s="3">
        <f t="shared" si="6"/>
        <v>30653947.843200002</v>
      </c>
      <c r="I29" s="52">
        <f t="shared" si="7"/>
        <v>7.6394401529572704</v>
      </c>
      <c r="J29" s="39" t="str">
        <f>R39</f>
        <v>Aaa/AAA</v>
      </c>
      <c r="K29" s="42">
        <f>T39</f>
        <v>4.36E-2</v>
      </c>
      <c r="L29" s="42">
        <f t="shared" si="8"/>
        <v>0.29249999999999998</v>
      </c>
      <c r="M29" s="54">
        <f t="shared" si="9"/>
        <v>3.0846999999999999E-2</v>
      </c>
    </row>
    <row r="30" spans="1:13" ht="15" x14ac:dyDescent="0.25">
      <c r="A30" s="49"/>
      <c r="B30" s="49"/>
      <c r="D30" s="49">
        <v>0.3</v>
      </c>
      <c r="E30" s="42">
        <f t="shared" si="3"/>
        <v>0.4285714285714286</v>
      </c>
      <c r="F30">
        <f t="shared" si="4"/>
        <v>1161134387.9999998</v>
      </c>
      <c r="G30" s="51">
        <f t="shared" si="5"/>
        <v>234179000</v>
      </c>
      <c r="H30" s="3">
        <f t="shared" si="6"/>
        <v>45980921.764799997</v>
      </c>
      <c r="I30" s="52">
        <f t="shared" si="7"/>
        <v>5.0929601019715136</v>
      </c>
      <c r="J30" s="39" t="str">
        <f>R41</f>
        <v>A1/A+</v>
      </c>
      <c r="K30" s="42">
        <f>T41</f>
        <v>4.8100000000000004E-2</v>
      </c>
      <c r="L30" s="42">
        <f t="shared" si="8"/>
        <v>0.29249999999999998</v>
      </c>
      <c r="M30" s="54">
        <f t="shared" si="9"/>
        <v>3.4030750000000005E-2</v>
      </c>
    </row>
    <row r="31" spans="1:13" ht="15" x14ac:dyDescent="0.25">
      <c r="A31" s="49"/>
      <c r="B31" s="49"/>
      <c r="D31" s="49">
        <v>0.4</v>
      </c>
      <c r="E31" s="42">
        <f t="shared" si="3"/>
        <v>0.66666666666666674</v>
      </c>
      <c r="F31">
        <f t="shared" si="4"/>
        <v>1548179184</v>
      </c>
      <c r="G31" s="51">
        <f t="shared" si="5"/>
        <v>234179000</v>
      </c>
      <c r="H31" s="3">
        <f t="shared" si="6"/>
        <v>61307895.686400004</v>
      </c>
      <c r="I31" s="52">
        <f t="shared" si="7"/>
        <v>3.8197200764786352</v>
      </c>
      <c r="J31" s="39" t="str">
        <f>R42</f>
        <v>A2/A</v>
      </c>
      <c r="K31" s="42">
        <f>T42</f>
        <v>4.9600000000000005E-2</v>
      </c>
      <c r="L31" s="42">
        <f t="shared" si="8"/>
        <v>0.29249999999999998</v>
      </c>
      <c r="M31" s="54">
        <f t="shared" si="9"/>
        <v>3.5092000000000005E-2</v>
      </c>
    </row>
    <row r="32" spans="1:13" ht="15" x14ac:dyDescent="0.25">
      <c r="A32" s="49"/>
      <c r="B32" s="49"/>
      <c r="D32" s="49">
        <v>0.5</v>
      </c>
      <c r="E32" s="42">
        <f t="shared" si="3"/>
        <v>1</v>
      </c>
      <c r="F32">
        <f t="shared" si="4"/>
        <v>1935223979.9999998</v>
      </c>
      <c r="G32" s="51">
        <f t="shared" si="5"/>
        <v>234179000</v>
      </c>
      <c r="H32" s="3">
        <f t="shared" si="6"/>
        <v>76634869.607999995</v>
      </c>
      <c r="I32" s="52">
        <f t="shared" si="7"/>
        <v>3.0557760611829083</v>
      </c>
      <c r="J32" s="39" t="str">
        <f>R43</f>
        <v>A3/A-</v>
      </c>
      <c r="K32" s="42">
        <f>T43</f>
        <v>5.2600000000000001E-2</v>
      </c>
      <c r="L32" s="42">
        <f>$B$3</f>
        <v>0.29249999999999998</v>
      </c>
      <c r="M32" s="54">
        <f t="shared" si="9"/>
        <v>3.7214500000000005E-2</v>
      </c>
    </row>
    <row r="33" spans="1:20" ht="15" x14ac:dyDescent="0.25">
      <c r="A33" s="49"/>
      <c r="B33" s="49"/>
      <c r="D33" s="49">
        <v>0.6</v>
      </c>
      <c r="E33" s="42">
        <f t="shared" si="3"/>
        <v>1.4999999999999998</v>
      </c>
      <c r="F33">
        <f t="shared" si="4"/>
        <v>2322268775.9999995</v>
      </c>
      <c r="G33" s="51">
        <f t="shared" si="5"/>
        <v>234179000</v>
      </c>
      <c r="H33" s="3">
        <f t="shared" si="6"/>
        <v>91961843.529599994</v>
      </c>
      <c r="I33" s="52">
        <f t="shared" si="7"/>
        <v>2.5464800509857568</v>
      </c>
      <c r="J33" s="39" t="str">
        <f>R43</f>
        <v>A3/A-</v>
      </c>
      <c r="K33" s="42">
        <f>T43</f>
        <v>5.2600000000000001E-2</v>
      </c>
      <c r="L33" s="42">
        <f>$B$3</f>
        <v>0.29249999999999998</v>
      </c>
      <c r="M33" s="54">
        <f t="shared" si="9"/>
        <v>3.7214500000000005E-2</v>
      </c>
    </row>
    <row r="34" spans="1:20" ht="15" x14ac:dyDescent="0.25">
      <c r="A34" s="49"/>
      <c r="B34" s="49"/>
      <c r="D34" s="49">
        <v>0.7</v>
      </c>
      <c r="E34" s="42">
        <f t="shared" si="3"/>
        <v>2.333333333333333</v>
      </c>
      <c r="F34">
        <f t="shared" si="4"/>
        <v>2709313571.9999995</v>
      </c>
      <c r="G34" s="51">
        <f t="shared" si="5"/>
        <v>234179000</v>
      </c>
      <c r="H34" s="3">
        <f t="shared" si="6"/>
        <v>107288817.45119999</v>
      </c>
      <c r="I34" s="52">
        <f t="shared" si="7"/>
        <v>2.1826971865592202</v>
      </c>
      <c r="J34" s="39" t="str">
        <f>R44</f>
        <v>Baa2/BBB</v>
      </c>
      <c r="K34" s="42">
        <f>T44</f>
        <v>5.96E-2</v>
      </c>
      <c r="L34" s="42">
        <f>$B$3</f>
        <v>0.29249999999999998</v>
      </c>
      <c r="M34" s="54">
        <f t="shared" si="9"/>
        <v>4.2167000000000003E-2</v>
      </c>
    </row>
    <row r="35" spans="1:20" ht="15" x14ac:dyDescent="0.25">
      <c r="A35" s="49"/>
      <c r="B35" s="49"/>
      <c r="D35" s="49">
        <v>0.8</v>
      </c>
      <c r="E35" s="42">
        <f t="shared" si="3"/>
        <v>4.0000000000000009</v>
      </c>
      <c r="F35">
        <f t="shared" si="4"/>
        <v>3096358368</v>
      </c>
      <c r="G35" s="51">
        <f t="shared" si="5"/>
        <v>234179000</v>
      </c>
      <c r="H35" s="3">
        <f t="shared" si="6"/>
        <v>122615791.37280001</v>
      </c>
      <c r="I35" s="52">
        <f t="shared" si="7"/>
        <v>1.9098600382393176</v>
      </c>
      <c r="J35" s="39" t="str">
        <f>R45</f>
        <v>Ba1/BB+</v>
      </c>
      <c r="K35" s="42">
        <f>T45</f>
        <v>6.9599999999999995E-2</v>
      </c>
      <c r="L35" s="42">
        <f>$B$3</f>
        <v>0.29249999999999998</v>
      </c>
      <c r="M35" s="54">
        <f t="shared" si="9"/>
        <v>4.9242000000000001E-2</v>
      </c>
    </row>
    <row r="36" spans="1:20" ht="15" x14ac:dyDescent="0.25">
      <c r="A36" s="49"/>
      <c r="B36" s="49"/>
      <c r="D36" s="49">
        <v>0.9</v>
      </c>
      <c r="E36" s="42">
        <f t="shared" si="3"/>
        <v>9.0000000000000018</v>
      </c>
      <c r="F36">
        <f t="shared" si="4"/>
        <v>3483403163.9999995</v>
      </c>
      <c r="G36" s="51">
        <f t="shared" si="5"/>
        <v>234179000</v>
      </c>
      <c r="H36" s="3">
        <f t="shared" si="6"/>
        <v>137942765.29440001</v>
      </c>
      <c r="I36" s="52">
        <f t="shared" si="7"/>
        <v>1.6976533673238379</v>
      </c>
      <c r="J36" s="39" t="str">
        <f>R46</f>
        <v>Ba2/BB</v>
      </c>
      <c r="K36" s="42">
        <f>T46</f>
        <v>7.9600000000000004E-2</v>
      </c>
      <c r="L36" s="42">
        <f>$B$3</f>
        <v>0.29249999999999998</v>
      </c>
      <c r="M36" s="54">
        <f t="shared" si="9"/>
        <v>5.6317000000000006E-2</v>
      </c>
    </row>
    <row r="37" spans="1:20" ht="15" x14ac:dyDescent="0.25">
      <c r="I37" s="39"/>
      <c r="J37" s="39"/>
      <c r="Q37" t="s">
        <v>496</v>
      </c>
      <c r="R37" s="42">
        <f>B1</f>
        <v>3.9600000000000003E-2</v>
      </c>
      <c r="S37" s="40"/>
    </row>
    <row r="38" spans="1:20" ht="15" x14ac:dyDescent="0.25">
      <c r="I38" s="39"/>
      <c r="J38" s="39"/>
      <c r="Q38" s="55" t="s">
        <v>498</v>
      </c>
      <c r="R38" s="56" t="s">
        <v>499</v>
      </c>
      <c r="S38" s="56" t="s">
        <v>500</v>
      </c>
      <c r="T38" s="57" t="s">
        <v>501</v>
      </c>
    </row>
    <row r="39" spans="1:20" ht="15" x14ac:dyDescent="0.25">
      <c r="G39" s="3"/>
      <c r="I39" s="39"/>
      <c r="J39" s="39"/>
      <c r="Q39" s="58" t="s">
        <v>502</v>
      </c>
      <c r="R39" s="39" t="s">
        <v>503</v>
      </c>
      <c r="S39" s="62">
        <v>4.0000000000000001E-3</v>
      </c>
      <c r="T39" s="64">
        <f t="shared" ref="T39:T53" si="10">$R$37+S39</f>
        <v>4.36E-2</v>
      </c>
    </row>
    <row r="40" spans="1:20" ht="15" x14ac:dyDescent="0.25">
      <c r="E40" t="s">
        <v>568</v>
      </c>
      <c r="G40" s="3"/>
      <c r="I40" s="39"/>
      <c r="J40" s="39"/>
      <c r="Q40" s="58" t="s">
        <v>504</v>
      </c>
      <c r="R40" s="39" t="s">
        <v>505</v>
      </c>
      <c r="S40" s="62">
        <v>7.0000000000000001E-3</v>
      </c>
      <c r="T40" s="64">
        <f t="shared" si="10"/>
        <v>4.6600000000000003E-2</v>
      </c>
    </row>
    <row r="41" spans="1:20" ht="15" x14ac:dyDescent="0.25">
      <c r="D41" s="41" t="s">
        <v>473</v>
      </c>
      <c r="E41" t="s">
        <v>561</v>
      </c>
      <c r="F41" t="s">
        <v>562</v>
      </c>
      <c r="G41" t="s">
        <v>563</v>
      </c>
      <c r="I41" s="39"/>
      <c r="J41" s="39"/>
      <c r="Q41" s="58" t="s">
        <v>506</v>
      </c>
      <c r="R41" s="39" t="s">
        <v>507</v>
      </c>
      <c r="S41" s="62">
        <v>8.5000000000000006E-3</v>
      </c>
      <c r="T41" s="64">
        <f t="shared" si="10"/>
        <v>4.8100000000000004E-2</v>
      </c>
    </row>
    <row r="42" spans="1:20" ht="15" x14ac:dyDescent="0.25">
      <c r="C42" s="49"/>
      <c r="D42" s="49">
        <v>0</v>
      </c>
      <c r="E42" s="42">
        <f t="shared" ref="E42:E51" si="11">H13</f>
        <v>0.10367836466441901</v>
      </c>
      <c r="F42" s="54">
        <f t="shared" ref="F42:F51" si="12">M27</f>
        <v>3.0846999999999999E-2</v>
      </c>
      <c r="G42" s="42">
        <f>((E42*(100%-D42))+(F42*D42))</f>
        <v>0.10367836466441901</v>
      </c>
      <c r="Q42" s="58" t="s">
        <v>508</v>
      </c>
      <c r="R42" s="39" t="s">
        <v>509</v>
      </c>
      <c r="S42" s="63">
        <v>0.01</v>
      </c>
      <c r="T42" s="64">
        <f t="shared" si="10"/>
        <v>4.9600000000000005E-2</v>
      </c>
    </row>
    <row r="43" spans="1:20" ht="15" x14ac:dyDescent="0.25">
      <c r="C43" s="49"/>
      <c r="D43" s="49">
        <v>0.1</v>
      </c>
      <c r="E43" s="42">
        <f t="shared" si="11"/>
        <v>0.10871563610887194</v>
      </c>
      <c r="F43" s="54">
        <f t="shared" si="12"/>
        <v>3.0846999999999999E-2</v>
      </c>
      <c r="G43" s="42">
        <f>((E43*(100%-D43))+(F43*D43))</f>
        <v>0.10092877249798475</v>
      </c>
      <c r="Q43" s="58" t="s">
        <v>510</v>
      </c>
      <c r="R43" s="39" t="s">
        <v>511</v>
      </c>
      <c r="S43" s="62">
        <v>1.2999999999999999E-2</v>
      </c>
      <c r="T43" s="64">
        <f t="shared" si="10"/>
        <v>5.2600000000000001E-2</v>
      </c>
    </row>
    <row r="44" spans="1:20" ht="15" x14ac:dyDescent="0.25">
      <c r="C44" s="49"/>
      <c r="D44" s="49">
        <v>0.2</v>
      </c>
      <c r="E44" s="42">
        <f t="shared" si="11"/>
        <v>0.11501222541443812</v>
      </c>
      <c r="F44" s="54">
        <f t="shared" si="12"/>
        <v>3.0846999999999999E-2</v>
      </c>
      <c r="G44" s="42">
        <f t="shared" ref="G44:G51" si="13">((E44*(100%-D44))+(F44*D44))</f>
        <v>9.81791803315505E-2</v>
      </c>
      <c r="H44" s="3"/>
      <c r="Q44" s="58" t="s">
        <v>512</v>
      </c>
      <c r="R44" s="39" t="s">
        <v>513</v>
      </c>
      <c r="S44" s="63">
        <v>0.02</v>
      </c>
      <c r="T44" s="64">
        <f t="shared" si="10"/>
        <v>5.96E-2</v>
      </c>
    </row>
    <row r="45" spans="1:20" ht="15" x14ac:dyDescent="0.25">
      <c r="C45" s="49"/>
      <c r="D45" s="49">
        <v>0.3</v>
      </c>
      <c r="E45" s="42">
        <f t="shared" si="11"/>
        <v>0.12310784023588034</v>
      </c>
      <c r="F45" s="54">
        <f t="shared" si="12"/>
        <v>3.4030750000000005E-2</v>
      </c>
      <c r="G45" s="42">
        <f t="shared" si="13"/>
        <v>9.6384713165116237E-2</v>
      </c>
      <c r="Q45" s="58" t="s">
        <v>514</v>
      </c>
      <c r="R45" s="39" t="s">
        <v>515</v>
      </c>
      <c r="S45" s="63">
        <v>0.03</v>
      </c>
      <c r="T45" s="64">
        <f t="shared" si="10"/>
        <v>6.9599999999999995E-2</v>
      </c>
    </row>
    <row r="46" spans="1:20" ht="15" x14ac:dyDescent="0.25">
      <c r="C46" s="49"/>
      <c r="D46" s="49">
        <v>0.4</v>
      </c>
      <c r="E46" s="42">
        <f t="shared" si="11"/>
        <v>0.13390199333113664</v>
      </c>
      <c r="F46" s="54">
        <f t="shared" si="12"/>
        <v>3.5092000000000005E-2</v>
      </c>
      <c r="G46" s="42">
        <f t="shared" si="13"/>
        <v>9.4377995998681991E-2</v>
      </c>
      <c r="Q46" s="58" t="s">
        <v>516</v>
      </c>
      <c r="R46" s="39" t="s">
        <v>517</v>
      </c>
      <c r="S46" s="63">
        <v>0.04</v>
      </c>
      <c r="T46" s="64">
        <f t="shared" si="10"/>
        <v>7.9600000000000004E-2</v>
      </c>
    </row>
    <row r="47" spans="1:20" ht="15" x14ac:dyDescent="0.25">
      <c r="C47" s="49"/>
      <c r="D47" s="49">
        <v>0.5</v>
      </c>
      <c r="E47" s="42">
        <f t="shared" si="11"/>
        <v>0.14901380766449546</v>
      </c>
      <c r="F47" s="54">
        <f t="shared" si="12"/>
        <v>3.7214500000000005E-2</v>
      </c>
      <c r="G47" s="42">
        <f t="shared" si="13"/>
        <v>9.3114153832247734E-2</v>
      </c>
      <c r="Q47" s="58" t="s">
        <v>518</v>
      </c>
      <c r="R47" s="39" t="s">
        <v>519</v>
      </c>
      <c r="S47" s="62">
        <v>5.5E-2</v>
      </c>
      <c r="T47" s="64">
        <f t="shared" si="10"/>
        <v>9.4600000000000004E-2</v>
      </c>
    </row>
    <row r="48" spans="1:20" ht="15" x14ac:dyDescent="0.25">
      <c r="C48" s="49"/>
      <c r="D48" s="76">
        <v>0.6</v>
      </c>
      <c r="E48" s="66">
        <f t="shared" si="11"/>
        <v>0.17168152916453366</v>
      </c>
      <c r="F48" s="65">
        <f t="shared" si="12"/>
        <v>3.7214500000000005E-2</v>
      </c>
      <c r="G48" s="66">
        <f t="shared" si="13"/>
        <v>9.1001311665813475E-2</v>
      </c>
      <c r="Q48" s="58" t="s">
        <v>520</v>
      </c>
      <c r="R48" s="39" t="s">
        <v>521</v>
      </c>
      <c r="S48" s="62">
        <v>6.5000000000000002E-2</v>
      </c>
      <c r="T48" s="64">
        <f t="shared" si="10"/>
        <v>0.1046</v>
      </c>
    </row>
    <row r="49" spans="3:20" ht="15" x14ac:dyDescent="0.25">
      <c r="C49" s="49"/>
      <c r="D49" s="49">
        <v>0.7</v>
      </c>
      <c r="E49" s="42">
        <f t="shared" si="11"/>
        <v>0.20946106499793068</v>
      </c>
      <c r="F49" s="54">
        <f t="shared" si="12"/>
        <v>4.2167000000000003E-2</v>
      </c>
      <c r="G49" s="42">
        <f t="shared" si="13"/>
        <v>9.2355219499379207E-2</v>
      </c>
      <c r="Q49" s="58" t="s">
        <v>522</v>
      </c>
      <c r="R49" s="39" t="s">
        <v>523</v>
      </c>
      <c r="S49" s="62">
        <v>7.2499999999999995E-2</v>
      </c>
      <c r="T49" s="64">
        <f t="shared" si="10"/>
        <v>0.11210000000000001</v>
      </c>
    </row>
    <row r="50" spans="3:20" ht="15" x14ac:dyDescent="0.25">
      <c r="C50" s="49"/>
      <c r="D50" s="49">
        <v>0.8</v>
      </c>
      <c r="E50" s="42">
        <f t="shared" si="11"/>
        <v>0.28502013666472481</v>
      </c>
      <c r="F50" s="54">
        <f t="shared" si="12"/>
        <v>4.9242000000000001E-2</v>
      </c>
      <c r="G50" s="42">
        <f t="shared" si="13"/>
        <v>9.6397627332944949E-2</v>
      </c>
      <c r="Q50" s="58" t="s">
        <v>524</v>
      </c>
      <c r="R50" s="39" t="s">
        <v>525</v>
      </c>
      <c r="S50" s="62">
        <v>8.7499999999999994E-2</v>
      </c>
      <c r="T50" s="64">
        <f t="shared" si="10"/>
        <v>0.12709999999999999</v>
      </c>
    </row>
    <row r="51" spans="3:20" ht="15" x14ac:dyDescent="0.25">
      <c r="C51" s="49"/>
      <c r="D51" s="49">
        <v>0.9</v>
      </c>
      <c r="E51" s="42">
        <f t="shared" si="11"/>
        <v>0.51169735166510721</v>
      </c>
      <c r="F51" s="54">
        <f t="shared" si="12"/>
        <v>5.6317000000000006E-2</v>
      </c>
      <c r="G51" s="42">
        <f t="shared" si="13"/>
        <v>0.10185503516651072</v>
      </c>
      <c r="Q51" s="58" t="s">
        <v>526</v>
      </c>
      <c r="R51" s="39" t="s">
        <v>527</v>
      </c>
      <c r="S51" s="62">
        <v>9.5000000000000001E-2</v>
      </c>
      <c r="T51" s="64">
        <f t="shared" si="10"/>
        <v>0.1346</v>
      </c>
    </row>
    <row r="52" spans="3:20" ht="15" x14ac:dyDescent="0.25">
      <c r="Q52" s="58" t="s">
        <v>528</v>
      </c>
      <c r="R52" s="39" t="s">
        <v>529</v>
      </c>
      <c r="S52" s="62">
        <v>0.105</v>
      </c>
      <c r="T52" s="64">
        <f t="shared" si="10"/>
        <v>0.14460000000000001</v>
      </c>
    </row>
    <row r="53" spans="3:20" ht="15" x14ac:dyDescent="0.25">
      <c r="Q53" s="59" t="s">
        <v>530</v>
      </c>
      <c r="R53" s="60" t="s">
        <v>531</v>
      </c>
      <c r="S53" s="61">
        <v>0.12</v>
      </c>
      <c r="T53" s="64">
        <f t="shared" si="10"/>
        <v>0.15959999999999999</v>
      </c>
    </row>
    <row r="57" spans="3:20" x14ac:dyDescent="0.2">
      <c r="E57" s="3"/>
    </row>
    <row r="58" spans="3:20" x14ac:dyDescent="0.2">
      <c r="E58" s="3"/>
    </row>
    <row r="59" spans="3:20" x14ac:dyDescent="0.2">
      <c r="E59" s="3"/>
    </row>
    <row r="60" spans="3:20" x14ac:dyDescent="0.2">
      <c r="E60" s="3"/>
    </row>
    <row r="61" spans="3:20" x14ac:dyDescent="0.2">
      <c r="E61" s="3"/>
    </row>
    <row r="62" spans="3:20" x14ac:dyDescent="0.2">
      <c r="E62" s="3"/>
    </row>
    <row r="63" spans="3:20" x14ac:dyDescent="0.2">
      <c r="E63" s="3"/>
    </row>
    <row r="64" spans="3:20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</sheetData>
  <mergeCells count="2">
    <mergeCell ref="P5:Q5"/>
    <mergeCell ref="E25:J25"/>
  </mergeCells>
  <hyperlinks>
    <hyperlink ref="I4" r:id="rId1" display="https://finance.yahoo.com/quote/ADS.DE/" xr:uid="{B7BD52D1-9F15-4CF9-B8BE-7A12C129CC15}"/>
    <hyperlink ref="D7" r:id="rId2" display="https://finance.yahoo.com/quote/ADS.DE/history/?period1=1703030400&amp;period2=1704412800" xr:uid="{47190CAB-81DA-4504-9961-D5C30DB681DA}"/>
    <hyperlink ref="D1" r:id="rId3" xr:uid="{788A10C1-5738-4134-B66A-85512BCF4A2A}"/>
    <hyperlink ref="D2" r:id="rId4" xr:uid="{5037F603-CD10-480D-BA59-D89880326358}"/>
    <hyperlink ref="C3" r:id="rId5" xr:uid="{6B3B4D16-7091-47F8-AA41-ECBF5649EBEA}"/>
  </hyperlinks>
  <pageMargins left="0.7" right="0.7" top="0.75" bottom="0.75" header="0.3" footer="0.3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854B-2C00-4AD6-956C-63C68350E3CF}">
  <dimension ref="A1:U55"/>
  <sheetViews>
    <sheetView topLeftCell="H1" zoomScale="57" workbookViewId="0">
      <selection activeCell="B32" sqref="B32"/>
    </sheetView>
  </sheetViews>
  <sheetFormatPr defaultRowHeight="12.75" x14ac:dyDescent="0.2"/>
  <cols>
    <col min="1" max="1" width="27" customWidth="1"/>
    <col min="2" max="2" width="13.42578125" customWidth="1"/>
    <col min="3" max="3" width="18" customWidth="1"/>
    <col min="4" max="4" width="19.7109375" customWidth="1"/>
    <col min="5" max="5" width="19" customWidth="1"/>
    <col min="6" max="6" width="21.7109375" bestFit="1" customWidth="1"/>
    <col min="7" max="7" width="17.5703125" customWidth="1"/>
    <col min="8" max="8" width="23" bestFit="1" customWidth="1"/>
    <col min="9" max="9" width="22.5703125" customWidth="1"/>
    <col min="10" max="10" width="18.7109375" customWidth="1"/>
    <col min="11" max="11" width="18.85546875" customWidth="1"/>
    <col min="12" max="12" width="15" customWidth="1"/>
    <col min="13" max="13" width="16.140625" customWidth="1"/>
    <col min="16" max="16" width="16.7109375" customWidth="1"/>
    <col min="17" max="17" width="5.85546875" customWidth="1"/>
    <col min="18" max="18" width="18.5703125" customWidth="1"/>
    <col min="19" max="19" width="13" customWidth="1"/>
    <col min="20" max="20" width="12.7109375" customWidth="1"/>
    <col min="21" max="21" width="16.28515625" customWidth="1"/>
    <col min="22" max="22" width="13.42578125" customWidth="1"/>
  </cols>
  <sheetData>
    <row r="1" spans="1:17" x14ac:dyDescent="0.2">
      <c r="A1" s="4" t="s">
        <v>532</v>
      </c>
      <c r="B1" s="42">
        <f>'Credit Rating'!C43</f>
        <v>2.4799999999999999E-2</v>
      </c>
      <c r="C1" t="s">
        <v>496</v>
      </c>
    </row>
    <row r="2" spans="1:17" x14ac:dyDescent="0.2">
      <c r="A2" s="4" t="s">
        <v>534</v>
      </c>
      <c r="B2" s="42">
        <v>5.7000000000000002E-2</v>
      </c>
      <c r="C2" s="40" t="s">
        <v>569</v>
      </c>
    </row>
    <row r="3" spans="1:17" x14ac:dyDescent="0.2">
      <c r="A3" s="4" t="s">
        <v>536</v>
      </c>
      <c r="B3" s="54">
        <v>0.3</v>
      </c>
      <c r="C3" s="40" t="s">
        <v>570</v>
      </c>
    </row>
    <row r="4" spans="1:17" x14ac:dyDescent="0.2">
      <c r="A4" s="4" t="s">
        <v>538</v>
      </c>
      <c r="B4">
        <v>1.08</v>
      </c>
      <c r="C4" s="40" t="s">
        <v>571</v>
      </c>
      <c r="I4" s="40"/>
    </row>
    <row r="5" spans="1:17" x14ac:dyDescent="0.2">
      <c r="A5" s="4" t="s">
        <v>540</v>
      </c>
      <c r="B5">
        <f>Q6</f>
        <v>0.76014188066963329</v>
      </c>
      <c r="P5" s="101" t="s">
        <v>541</v>
      </c>
      <c r="Q5" s="102"/>
    </row>
    <row r="6" spans="1:17" x14ac:dyDescent="0.2">
      <c r="A6" s="4" t="s">
        <v>542</v>
      </c>
      <c r="B6">
        <f>Competitors!AA207</f>
        <v>4058100000</v>
      </c>
      <c r="P6" s="4" t="s">
        <v>543</v>
      </c>
      <c r="Q6" s="4">
        <f>B4/(1+(1-B3)*(B6/B7))</f>
        <v>0.76014188066963329</v>
      </c>
    </row>
    <row r="7" spans="1:17" x14ac:dyDescent="0.2">
      <c r="A7" s="4" t="s">
        <v>544</v>
      </c>
      <c r="B7">
        <f>Dividend!O26*Competitors!AA64</f>
        <v>6750843907.5499992</v>
      </c>
      <c r="C7" s="4" t="s">
        <v>545</v>
      </c>
      <c r="D7" s="40"/>
    </row>
    <row r="8" spans="1:17" x14ac:dyDescent="0.2">
      <c r="A8" s="4" t="s">
        <v>257</v>
      </c>
      <c r="B8" s="3">
        <f>Competitors!AA73</f>
        <v>715800000</v>
      </c>
    </row>
    <row r="10" spans="1:17" x14ac:dyDescent="0.2">
      <c r="A10" t="s">
        <v>551</v>
      </c>
      <c r="G10" s="4" t="s">
        <v>546</v>
      </c>
    </row>
    <row r="11" spans="1:17" x14ac:dyDescent="0.2">
      <c r="E11" s="16"/>
      <c r="F11" s="16" t="s">
        <v>547</v>
      </c>
      <c r="G11" s="16"/>
      <c r="H11" s="16"/>
    </row>
    <row r="12" spans="1:17" x14ac:dyDescent="0.2">
      <c r="E12" s="17" t="s">
        <v>473</v>
      </c>
      <c r="F12" s="17" t="s">
        <v>548</v>
      </c>
      <c r="G12" s="17" t="s">
        <v>549</v>
      </c>
      <c r="H12" s="17" t="s">
        <v>550</v>
      </c>
    </row>
    <row r="13" spans="1:17" x14ac:dyDescent="0.2">
      <c r="A13" s="42">
        <f>B6/(B6+B7)</f>
        <v>0.37543908403164489</v>
      </c>
      <c r="E13" s="49">
        <v>0</v>
      </c>
      <c r="F13" s="42">
        <f>E13/(1-E13)</f>
        <v>0</v>
      </c>
      <c r="G13">
        <f>$Q$6*(1+(1-$B$3)*(F13))</f>
        <v>0.76014188066963329</v>
      </c>
      <c r="H13" s="42">
        <f>$B$1+G13*$B$2</f>
        <v>6.8128087198169096E-2</v>
      </c>
    </row>
    <row r="14" spans="1:17" x14ac:dyDescent="0.2">
      <c r="E14" s="49">
        <v>0.1</v>
      </c>
      <c r="F14" s="42">
        <f t="shared" ref="F14:F21" si="0">E14/(1-E14)</f>
        <v>0.11111111111111112</v>
      </c>
      <c r="G14">
        <f t="shared" ref="G14:G22" si="1">$Q$6*(1+(1-$B$3)*(F14))</f>
        <v>0.81926402694393807</v>
      </c>
      <c r="H14" s="42">
        <f t="shared" ref="H14:H22" si="2">$B$1+G14*$B$2</f>
        <v>7.1498049535804464E-2</v>
      </c>
    </row>
    <row r="15" spans="1:17" x14ac:dyDescent="0.2">
      <c r="E15" s="49">
        <v>0.2</v>
      </c>
      <c r="F15" s="42">
        <f t="shared" si="0"/>
        <v>0.25</v>
      </c>
      <c r="G15">
        <f t="shared" si="1"/>
        <v>0.89316670978681911</v>
      </c>
      <c r="H15" s="42">
        <f t="shared" si="2"/>
        <v>7.5710502457848688E-2</v>
      </c>
    </row>
    <row r="16" spans="1:17" x14ac:dyDescent="0.2">
      <c r="E16" s="49">
        <v>0.3</v>
      </c>
      <c r="F16" s="42">
        <f t="shared" si="0"/>
        <v>0.4285714285714286</v>
      </c>
      <c r="G16">
        <f t="shared" si="1"/>
        <v>0.98818444487052326</v>
      </c>
      <c r="H16" s="42">
        <f t="shared" si="2"/>
        <v>8.1126513357619834E-2</v>
      </c>
    </row>
    <row r="17" spans="1:13" x14ac:dyDescent="0.2">
      <c r="E17" s="49">
        <v>0.4</v>
      </c>
      <c r="F17" s="42">
        <f t="shared" si="0"/>
        <v>0.66666666666666674</v>
      </c>
      <c r="G17">
        <f t="shared" si="1"/>
        <v>1.1148747583154623</v>
      </c>
      <c r="H17" s="42">
        <f t="shared" si="2"/>
        <v>8.8347861223981361E-2</v>
      </c>
    </row>
    <row r="18" spans="1:13" x14ac:dyDescent="0.2">
      <c r="B18" s="67"/>
      <c r="E18" s="49">
        <v>0.5</v>
      </c>
      <c r="F18" s="42">
        <f t="shared" si="0"/>
        <v>1</v>
      </c>
      <c r="G18">
        <f t="shared" si="1"/>
        <v>1.2922411971383765</v>
      </c>
      <c r="H18" s="42">
        <f t="shared" si="2"/>
        <v>9.8457748236887466E-2</v>
      </c>
    </row>
    <row r="19" spans="1:13" x14ac:dyDescent="0.2">
      <c r="E19" s="49">
        <v>0.6</v>
      </c>
      <c r="F19" s="42">
        <f t="shared" si="0"/>
        <v>1.4999999999999998</v>
      </c>
      <c r="G19">
        <f t="shared" si="1"/>
        <v>1.5582908553727481</v>
      </c>
      <c r="H19" s="42">
        <f t="shared" si="2"/>
        <v>0.11362257875624665</v>
      </c>
    </row>
    <row r="20" spans="1:13" x14ac:dyDescent="0.2">
      <c r="E20" s="49">
        <v>0.7</v>
      </c>
      <c r="F20" s="42">
        <f t="shared" si="0"/>
        <v>2.333333333333333</v>
      </c>
      <c r="G20">
        <f t="shared" si="1"/>
        <v>2.0017069524300339</v>
      </c>
      <c r="H20" s="42">
        <f t="shared" si="2"/>
        <v>0.13889729628851194</v>
      </c>
    </row>
    <row r="21" spans="1:13" x14ac:dyDescent="0.2">
      <c r="E21" s="49">
        <v>0.8</v>
      </c>
      <c r="F21" s="42">
        <f t="shared" si="0"/>
        <v>4.0000000000000009</v>
      </c>
      <c r="G21">
        <f t="shared" si="1"/>
        <v>2.8885391465446069</v>
      </c>
      <c r="H21" s="42">
        <f t="shared" si="2"/>
        <v>0.18944673135304257</v>
      </c>
    </row>
    <row r="22" spans="1:13" x14ac:dyDescent="0.2">
      <c r="E22" s="49">
        <v>0.9</v>
      </c>
      <c r="F22" s="42">
        <f>E22/(1-E22)</f>
        <v>9.0000000000000018</v>
      </c>
      <c r="G22">
        <f t="shared" si="1"/>
        <v>5.5490357288883239</v>
      </c>
      <c r="H22" s="42">
        <f t="shared" si="2"/>
        <v>0.34109503654663448</v>
      </c>
    </row>
    <row r="24" spans="1:13" ht="15" x14ac:dyDescent="0.25">
      <c r="E24" s="41" t="s">
        <v>551</v>
      </c>
      <c r="F24" s="62">
        <f>B1</f>
        <v>2.4799999999999999E-2</v>
      </c>
    </row>
    <row r="25" spans="1:13" ht="13.15" customHeight="1" x14ac:dyDescent="0.2">
      <c r="E25" s="103" t="s">
        <v>552</v>
      </c>
      <c r="F25" s="103"/>
      <c r="G25" s="103"/>
      <c r="H25" s="103"/>
      <c r="I25" s="103"/>
      <c r="J25" s="103"/>
    </row>
    <row r="26" spans="1:13" x14ac:dyDescent="0.2">
      <c r="D26" s="41" t="s">
        <v>473</v>
      </c>
      <c r="E26" t="s">
        <v>548</v>
      </c>
      <c r="F26" s="41" t="s">
        <v>553</v>
      </c>
      <c r="G26" s="41" t="s">
        <v>257</v>
      </c>
      <c r="H26" s="41" t="s">
        <v>554</v>
      </c>
      <c r="I26" s="41" t="s">
        <v>555</v>
      </c>
      <c r="J26" s="41" t="s">
        <v>556</v>
      </c>
      <c r="K26" s="17" t="s">
        <v>557</v>
      </c>
      <c r="L26" s="17" t="s">
        <v>558</v>
      </c>
      <c r="M26" s="17" t="s">
        <v>559</v>
      </c>
    </row>
    <row r="27" spans="1:13" ht="15" x14ac:dyDescent="0.25">
      <c r="A27" s="49"/>
      <c r="B27" s="49"/>
      <c r="D27" s="49">
        <v>0</v>
      </c>
      <c r="E27" s="42">
        <f t="shared" ref="E27:E36" si="3">D27/(1-D27)</f>
        <v>0</v>
      </c>
      <c r="F27">
        <f t="shared" ref="F27:F36" si="4">$B$7*D27</f>
        <v>0</v>
      </c>
      <c r="G27" s="51">
        <f t="shared" ref="G27:G36" si="5">$B$8</f>
        <v>715800000</v>
      </c>
      <c r="H27" s="3">
        <f t="shared" ref="H27:H36" si="6">F27*$F$24</f>
        <v>0</v>
      </c>
      <c r="I27" s="53" t="e">
        <f t="shared" ref="I27:I36" si="7">G27/H27</f>
        <v>#DIV/0!</v>
      </c>
      <c r="J27" s="39" t="str">
        <f>S41</f>
        <v>Aaa/AAA</v>
      </c>
      <c r="K27" s="42">
        <f>U41</f>
        <v>2.8799999999999999E-2</v>
      </c>
      <c r="L27" s="42">
        <f>$B$3</f>
        <v>0.3</v>
      </c>
      <c r="M27" s="54">
        <f>K27*(1-L27)</f>
        <v>2.0159999999999997E-2</v>
      </c>
    </row>
    <row r="28" spans="1:13" ht="15" x14ac:dyDescent="0.25">
      <c r="A28" s="49"/>
      <c r="B28" s="49"/>
      <c r="D28" s="49">
        <v>0.1</v>
      </c>
      <c r="E28" s="42">
        <f t="shared" si="3"/>
        <v>0.11111111111111112</v>
      </c>
      <c r="F28">
        <f t="shared" si="4"/>
        <v>675084390.755</v>
      </c>
      <c r="G28" s="51">
        <f t="shared" si="5"/>
        <v>715800000</v>
      </c>
      <c r="H28" s="3">
        <f t="shared" si="6"/>
        <v>16742092.890724</v>
      </c>
      <c r="I28" s="52">
        <f t="shared" si="7"/>
        <v>42.754511318987539</v>
      </c>
      <c r="J28" s="39" t="str">
        <f>S41</f>
        <v>Aaa/AAA</v>
      </c>
      <c r="K28" s="42">
        <f>U41</f>
        <v>2.8799999999999999E-2</v>
      </c>
      <c r="L28" s="42">
        <f t="shared" ref="L28:L31" si="8">$B$3</f>
        <v>0.3</v>
      </c>
      <c r="M28" s="54">
        <f t="shared" ref="M28:M36" si="9">K28*(1-L28)</f>
        <v>2.0159999999999997E-2</v>
      </c>
    </row>
    <row r="29" spans="1:13" ht="15" x14ac:dyDescent="0.25">
      <c r="A29" s="49"/>
      <c r="B29" s="49"/>
      <c r="D29" s="49">
        <v>0.2</v>
      </c>
      <c r="E29" s="42">
        <f t="shared" si="3"/>
        <v>0.25</v>
      </c>
      <c r="F29">
        <f t="shared" si="4"/>
        <v>1350168781.51</v>
      </c>
      <c r="G29" s="51">
        <f t="shared" si="5"/>
        <v>715800000</v>
      </c>
      <c r="H29" s="3">
        <f t="shared" si="6"/>
        <v>33484185.781447999</v>
      </c>
      <c r="I29" s="52">
        <f t="shared" si="7"/>
        <v>21.37725565949377</v>
      </c>
      <c r="J29" s="39" t="str">
        <f>S41</f>
        <v>Aaa/AAA</v>
      </c>
      <c r="K29" s="42">
        <f>U41</f>
        <v>2.8799999999999999E-2</v>
      </c>
      <c r="L29" s="42">
        <f t="shared" si="8"/>
        <v>0.3</v>
      </c>
      <c r="M29" s="54">
        <f t="shared" si="9"/>
        <v>2.0159999999999997E-2</v>
      </c>
    </row>
    <row r="30" spans="1:13" ht="15" x14ac:dyDescent="0.25">
      <c r="A30" s="49"/>
      <c r="B30" s="49"/>
      <c r="D30" s="49">
        <v>0.3</v>
      </c>
      <c r="E30" s="42">
        <f t="shared" si="3"/>
        <v>0.4285714285714286</v>
      </c>
      <c r="F30">
        <f t="shared" si="4"/>
        <v>2025253172.2649996</v>
      </c>
      <c r="G30" s="51">
        <f t="shared" si="5"/>
        <v>715800000</v>
      </c>
      <c r="H30" s="3">
        <f t="shared" si="6"/>
        <v>50226278.672171988</v>
      </c>
      <c r="I30" s="52">
        <f t="shared" si="7"/>
        <v>14.251503772995848</v>
      </c>
      <c r="J30" s="39" t="str">
        <f>S41</f>
        <v>Aaa/AAA</v>
      </c>
      <c r="K30" s="42">
        <f>U41</f>
        <v>2.8799999999999999E-2</v>
      </c>
      <c r="L30" s="42">
        <f t="shared" si="8"/>
        <v>0.3</v>
      </c>
      <c r="M30" s="54">
        <f t="shared" si="9"/>
        <v>2.0159999999999997E-2</v>
      </c>
    </row>
    <row r="31" spans="1:13" ht="15" x14ac:dyDescent="0.25">
      <c r="A31" s="49"/>
      <c r="B31" s="49"/>
      <c r="D31" s="49">
        <v>0.4</v>
      </c>
      <c r="E31" s="42">
        <f t="shared" si="3"/>
        <v>0.66666666666666674</v>
      </c>
      <c r="F31">
        <f t="shared" si="4"/>
        <v>2700337563.02</v>
      </c>
      <c r="G31" s="51">
        <f t="shared" si="5"/>
        <v>715800000</v>
      </c>
      <c r="H31" s="3">
        <f t="shared" si="6"/>
        <v>66968371.562895998</v>
      </c>
      <c r="I31" s="52">
        <f t="shared" si="7"/>
        <v>10.688627829746885</v>
      </c>
      <c r="J31" s="39" t="str">
        <f>S41</f>
        <v>Aaa/AAA</v>
      </c>
      <c r="K31" s="42">
        <f>U41</f>
        <v>2.8799999999999999E-2</v>
      </c>
      <c r="L31" s="42">
        <f t="shared" si="8"/>
        <v>0.3</v>
      </c>
      <c r="M31" s="54">
        <f t="shared" si="9"/>
        <v>2.0159999999999997E-2</v>
      </c>
    </row>
    <row r="32" spans="1:13" ht="15" x14ac:dyDescent="0.25">
      <c r="A32" s="49"/>
      <c r="B32" s="49"/>
      <c r="D32" s="49">
        <v>0.5</v>
      </c>
      <c r="E32" s="42">
        <f t="shared" si="3"/>
        <v>1</v>
      </c>
      <c r="F32">
        <f t="shared" si="4"/>
        <v>3375421953.7749996</v>
      </c>
      <c r="G32" s="51">
        <f t="shared" si="5"/>
        <v>715800000</v>
      </c>
      <c r="H32" s="3">
        <f t="shared" si="6"/>
        <v>83710464.453619987</v>
      </c>
      <c r="I32" s="52">
        <f t="shared" si="7"/>
        <v>8.550902263797509</v>
      </c>
      <c r="J32" s="39" t="str">
        <f>S41</f>
        <v>Aaa/AAA</v>
      </c>
      <c r="K32" s="42">
        <f>U41</f>
        <v>2.8799999999999999E-2</v>
      </c>
      <c r="L32" s="42">
        <f>$B$3</f>
        <v>0.3</v>
      </c>
      <c r="M32" s="54">
        <f t="shared" si="9"/>
        <v>2.0159999999999997E-2</v>
      </c>
    </row>
    <row r="33" spans="1:21" ht="15" x14ac:dyDescent="0.25">
      <c r="A33" s="49"/>
      <c r="B33" s="49"/>
      <c r="D33" s="49">
        <v>0.6</v>
      </c>
      <c r="E33" s="42">
        <f t="shared" si="3"/>
        <v>1.4999999999999998</v>
      </c>
      <c r="F33">
        <f t="shared" si="4"/>
        <v>4050506344.5299993</v>
      </c>
      <c r="G33" s="51">
        <f t="shared" si="5"/>
        <v>715800000</v>
      </c>
      <c r="H33" s="3">
        <f t="shared" si="6"/>
        <v>100452557.34434398</v>
      </c>
      <c r="I33" s="52">
        <f t="shared" si="7"/>
        <v>7.1257518864979241</v>
      </c>
      <c r="J33" s="39" t="str">
        <f>S42</f>
        <v>Aa2/AA</v>
      </c>
      <c r="K33" s="42">
        <f>U42</f>
        <v>3.1800000000000002E-2</v>
      </c>
      <c r="L33" s="42">
        <f>$B$3</f>
        <v>0.3</v>
      </c>
      <c r="M33" s="54">
        <f t="shared" si="9"/>
        <v>2.2259999999999999E-2</v>
      </c>
    </row>
    <row r="34" spans="1:21" ht="15" x14ac:dyDescent="0.25">
      <c r="A34" s="49"/>
      <c r="B34" s="49"/>
      <c r="D34" s="49">
        <v>0.7</v>
      </c>
      <c r="E34" s="42">
        <f t="shared" si="3"/>
        <v>2.333333333333333</v>
      </c>
      <c r="F34">
        <f t="shared" si="4"/>
        <v>4725590735.2849989</v>
      </c>
      <c r="G34" s="51">
        <f t="shared" si="5"/>
        <v>715800000</v>
      </c>
      <c r="H34" s="3">
        <f t="shared" si="6"/>
        <v>117194650.23506796</v>
      </c>
      <c r="I34" s="52">
        <f t="shared" si="7"/>
        <v>6.1077873312839355</v>
      </c>
      <c r="J34" s="39" t="str">
        <f>S43</f>
        <v>A1/A+</v>
      </c>
      <c r="K34" s="42">
        <f>U43</f>
        <v>3.3299999999999996E-2</v>
      </c>
      <c r="L34" s="42">
        <f>$B$3</f>
        <v>0.3</v>
      </c>
      <c r="M34" s="54">
        <f t="shared" si="9"/>
        <v>2.3309999999999997E-2</v>
      </c>
    </row>
    <row r="35" spans="1:21" ht="15" x14ac:dyDescent="0.25">
      <c r="A35" s="49"/>
      <c r="B35" s="49"/>
      <c r="D35" s="49">
        <v>0.8</v>
      </c>
      <c r="E35" s="42">
        <f t="shared" si="3"/>
        <v>4.0000000000000009</v>
      </c>
      <c r="F35">
        <f t="shared" si="4"/>
        <v>5400675126.04</v>
      </c>
      <c r="G35" s="51">
        <f t="shared" si="5"/>
        <v>715800000</v>
      </c>
      <c r="H35" s="3">
        <f t="shared" si="6"/>
        <v>133936743.125792</v>
      </c>
      <c r="I35" s="52">
        <f t="shared" si="7"/>
        <v>5.3443139148734424</v>
      </c>
      <c r="J35" s="39" t="str">
        <f>S44</f>
        <v>A2/A</v>
      </c>
      <c r="K35" s="42">
        <f>U44</f>
        <v>3.4799999999999998E-2</v>
      </c>
      <c r="L35" s="42">
        <f>$B$3</f>
        <v>0.3</v>
      </c>
      <c r="M35" s="54">
        <f t="shared" si="9"/>
        <v>2.4359999999999996E-2</v>
      </c>
    </row>
    <row r="36" spans="1:21" ht="15" x14ac:dyDescent="0.25">
      <c r="A36" s="49"/>
      <c r="B36" s="49"/>
      <c r="D36" s="49">
        <v>0.9</v>
      </c>
      <c r="E36" s="42">
        <f t="shared" si="3"/>
        <v>9.0000000000000018</v>
      </c>
      <c r="F36">
        <f t="shared" si="4"/>
        <v>6075759516.7949991</v>
      </c>
      <c r="G36" s="51">
        <f t="shared" si="5"/>
        <v>715800000</v>
      </c>
      <c r="H36" s="3">
        <f t="shared" si="6"/>
        <v>150678836.01651597</v>
      </c>
      <c r="I36" s="52">
        <f t="shared" si="7"/>
        <v>4.7505012576652828</v>
      </c>
      <c r="J36" s="39" t="str">
        <f>S44</f>
        <v>A2/A</v>
      </c>
      <c r="K36" s="42">
        <f>U44</f>
        <v>3.4799999999999998E-2</v>
      </c>
      <c r="L36" s="42">
        <f>$B$3</f>
        <v>0.3</v>
      </c>
      <c r="M36" s="54">
        <f t="shared" si="9"/>
        <v>2.4359999999999996E-2</v>
      </c>
    </row>
    <row r="37" spans="1:21" ht="15" x14ac:dyDescent="0.25">
      <c r="I37" s="39"/>
      <c r="J37" s="39"/>
    </row>
    <row r="38" spans="1:21" ht="15" x14ac:dyDescent="0.25">
      <c r="I38" s="39"/>
      <c r="J38" s="39"/>
    </row>
    <row r="39" spans="1:21" ht="15" x14ac:dyDescent="0.25">
      <c r="G39" s="3"/>
      <c r="I39" s="39"/>
      <c r="J39" s="39"/>
      <c r="R39" t="s">
        <v>496</v>
      </c>
      <c r="S39" s="42">
        <f>B1</f>
        <v>2.4799999999999999E-2</v>
      </c>
      <c r="T39" s="40" t="s">
        <v>497</v>
      </c>
    </row>
    <row r="40" spans="1:21" ht="15" x14ac:dyDescent="0.25">
      <c r="E40" t="s">
        <v>572</v>
      </c>
      <c r="G40" s="3"/>
      <c r="I40" s="39"/>
      <c r="J40" s="39"/>
      <c r="R40" s="55" t="s">
        <v>498</v>
      </c>
      <c r="S40" s="56" t="s">
        <v>499</v>
      </c>
      <c r="T40" s="56" t="s">
        <v>500</v>
      </c>
      <c r="U40" s="57" t="s">
        <v>501</v>
      </c>
    </row>
    <row r="41" spans="1:21" ht="15" x14ac:dyDescent="0.25">
      <c r="D41" s="41" t="s">
        <v>473</v>
      </c>
      <c r="E41" t="s">
        <v>561</v>
      </c>
      <c r="F41" t="s">
        <v>562</v>
      </c>
      <c r="G41" t="s">
        <v>563</v>
      </c>
      <c r="I41" s="39"/>
      <c r="J41" s="39"/>
      <c r="R41" s="58" t="s">
        <v>502</v>
      </c>
      <c r="S41" s="39" t="s">
        <v>503</v>
      </c>
      <c r="T41" s="62">
        <v>4.0000000000000001E-3</v>
      </c>
      <c r="U41" s="64">
        <f t="shared" ref="U41:U55" si="10">$S$39+T41</f>
        <v>2.8799999999999999E-2</v>
      </c>
    </row>
    <row r="42" spans="1:21" ht="15" x14ac:dyDescent="0.25">
      <c r="C42" s="49"/>
      <c r="D42" s="49">
        <v>0</v>
      </c>
      <c r="E42" s="42">
        <f t="shared" ref="E42:E51" si="11">H13</f>
        <v>6.8128087198169096E-2</v>
      </c>
      <c r="F42" s="54">
        <f t="shared" ref="F42:F51" si="12">M27</f>
        <v>2.0159999999999997E-2</v>
      </c>
      <c r="G42" s="42">
        <f>((E42*(100%-D42))+(F42*D42))</f>
        <v>6.8128087198169096E-2</v>
      </c>
      <c r="R42" s="58" t="s">
        <v>504</v>
      </c>
      <c r="S42" s="39" t="s">
        <v>505</v>
      </c>
      <c r="T42" s="62">
        <v>7.0000000000000001E-3</v>
      </c>
      <c r="U42" s="64">
        <f t="shared" si="10"/>
        <v>3.1800000000000002E-2</v>
      </c>
    </row>
    <row r="43" spans="1:21" ht="15" x14ac:dyDescent="0.25">
      <c r="C43" s="49"/>
      <c r="D43" s="49">
        <v>0.1</v>
      </c>
      <c r="E43" s="42">
        <f t="shared" si="11"/>
        <v>7.1498049535804464E-2</v>
      </c>
      <c r="F43" s="65">
        <f t="shared" si="12"/>
        <v>2.0159999999999997E-2</v>
      </c>
      <c r="G43" s="66">
        <f>((E43*(100%-D43))+(F43*D43))</f>
        <v>6.6364244582224022E-2</v>
      </c>
      <c r="R43" s="58" t="s">
        <v>506</v>
      </c>
      <c r="S43" s="39" t="s">
        <v>507</v>
      </c>
      <c r="T43" s="62">
        <v>8.5000000000000006E-3</v>
      </c>
      <c r="U43" s="64">
        <f t="shared" si="10"/>
        <v>3.3299999999999996E-2</v>
      </c>
    </row>
    <row r="44" spans="1:21" ht="15" x14ac:dyDescent="0.25">
      <c r="C44" s="49"/>
      <c r="D44" s="49">
        <v>0.2</v>
      </c>
      <c r="E44" s="42">
        <f t="shared" si="11"/>
        <v>7.5710502457848688E-2</v>
      </c>
      <c r="F44" s="54">
        <f t="shared" si="12"/>
        <v>2.0159999999999997E-2</v>
      </c>
      <c r="G44" s="42">
        <f t="shared" ref="G44:G51" si="13">((E44*(100%-D44))+(F44*D44))</f>
        <v>6.4600401966278947E-2</v>
      </c>
      <c r="H44" s="3"/>
      <c r="R44" s="58" t="s">
        <v>508</v>
      </c>
      <c r="S44" s="39" t="s">
        <v>509</v>
      </c>
      <c r="T44" s="63">
        <v>0.01</v>
      </c>
      <c r="U44" s="64">
        <f t="shared" si="10"/>
        <v>3.4799999999999998E-2</v>
      </c>
    </row>
    <row r="45" spans="1:21" ht="15" x14ac:dyDescent="0.25">
      <c r="C45" s="49"/>
      <c r="D45" s="49">
        <v>0.3</v>
      </c>
      <c r="E45" s="42">
        <f t="shared" si="11"/>
        <v>8.1126513357619834E-2</v>
      </c>
      <c r="F45" s="54">
        <f t="shared" si="12"/>
        <v>2.0159999999999997E-2</v>
      </c>
      <c r="G45" s="42">
        <f t="shared" si="13"/>
        <v>6.2836559350333887E-2</v>
      </c>
      <c r="R45" s="58" t="s">
        <v>510</v>
      </c>
      <c r="S45" s="39" t="s">
        <v>511</v>
      </c>
      <c r="T45" s="62">
        <v>1.2999999999999999E-2</v>
      </c>
      <c r="U45" s="64">
        <f t="shared" si="10"/>
        <v>3.78E-2</v>
      </c>
    </row>
    <row r="46" spans="1:21" ht="15" x14ac:dyDescent="0.25">
      <c r="C46" s="49"/>
      <c r="D46" s="49">
        <v>0.4</v>
      </c>
      <c r="E46" s="42">
        <f t="shared" si="11"/>
        <v>8.8347861223981361E-2</v>
      </c>
      <c r="F46" s="54">
        <f t="shared" si="12"/>
        <v>2.0159999999999997E-2</v>
      </c>
      <c r="G46" s="42">
        <f t="shared" si="13"/>
        <v>6.107271673438882E-2</v>
      </c>
      <c r="R46" s="58" t="s">
        <v>512</v>
      </c>
      <c r="S46" s="39" t="s">
        <v>513</v>
      </c>
      <c r="T46" s="63">
        <v>0.02</v>
      </c>
      <c r="U46" s="64">
        <f t="shared" si="10"/>
        <v>4.48E-2</v>
      </c>
    </row>
    <row r="47" spans="1:21" ht="15" x14ac:dyDescent="0.25">
      <c r="C47" s="49"/>
      <c r="D47" s="49">
        <v>0.5</v>
      </c>
      <c r="E47" s="42">
        <f t="shared" si="11"/>
        <v>9.8457748236887466E-2</v>
      </c>
      <c r="F47" s="54">
        <f t="shared" si="12"/>
        <v>2.0159999999999997E-2</v>
      </c>
      <c r="G47" s="42">
        <f t="shared" si="13"/>
        <v>5.9308874118443732E-2</v>
      </c>
      <c r="R47" s="58" t="s">
        <v>514</v>
      </c>
      <c r="S47" s="39" t="s">
        <v>515</v>
      </c>
      <c r="T47" s="63">
        <v>0.03</v>
      </c>
      <c r="U47" s="64">
        <f t="shared" si="10"/>
        <v>5.4800000000000001E-2</v>
      </c>
    </row>
    <row r="48" spans="1:21" ht="15" x14ac:dyDescent="0.25">
      <c r="C48" s="49"/>
      <c r="D48" s="49">
        <v>0.6</v>
      </c>
      <c r="E48" s="42">
        <f t="shared" si="11"/>
        <v>0.11362257875624665</v>
      </c>
      <c r="F48" s="54">
        <f t="shared" si="12"/>
        <v>2.2259999999999999E-2</v>
      </c>
      <c r="G48" s="42">
        <f t="shared" si="13"/>
        <v>5.8805031502498661E-2</v>
      </c>
      <c r="R48" s="58" t="s">
        <v>516</v>
      </c>
      <c r="S48" s="39" t="s">
        <v>517</v>
      </c>
      <c r="T48" s="63">
        <v>0.04</v>
      </c>
      <c r="U48" s="64">
        <f t="shared" si="10"/>
        <v>6.4799999999999996E-2</v>
      </c>
    </row>
    <row r="49" spans="3:21" ht="15" x14ac:dyDescent="0.25">
      <c r="C49" s="49"/>
      <c r="D49" s="49">
        <v>0.7</v>
      </c>
      <c r="E49" s="42">
        <f t="shared" si="11"/>
        <v>0.13889729628851194</v>
      </c>
      <c r="F49" s="54">
        <f t="shared" si="12"/>
        <v>2.3309999999999997E-2</v>
      </c>
      <c r="G49" s="42">
        <f t="shared" si="13"/>
        <v>5.7986188886553588E-2</v>
      </c>
      <c r="R49" s="58" t="s">
        <v>518</v>
      </c>
      <c r="S49" s="39" t="s">
        <v>519</v>
      </c>
      <c r="T49" s="62">
        <v>5.5E-2</v>
      </c>
      <c r="U49" s="64">
        <f t="shared" si="10"/>
        <v>7.9799999999999996E-2</v>
      </c>
    </row>
    <row r="50" spans="3:21" ht="15" x14ac:dyDescent="0.25">
      <c r="C50" s="49"/>
      <c r="D50" s="49">
        <v>0.8</v>
      </c>
      <c r="E50" s="42">
        <f t="shared" si="11"/>
        <v>0.18944673135304257</v>
      </c>
      <c r="F50" s="54">
        <f t="shared" si="12"/>
        <v>2.4359999999999996E-2</v>
      </c>
      <c r="G50" s="42">
        <f t="shared" si="13"/>
        <v>5.7377346270608504E-2</v>
      </c>
      <c r="R50" s="58" t="s">
        <v>520</v>
      </c>
      <c r="S50" s="39" t="s">
        <v>521</v>
      </c>
      <c r="T50" s="62">
        <v>6.5000000000000002E-2</v>
      </c>
      <c r="U50" s="64">
        <f t="shared" si="10"/>
        <v>8.9800000000000005E-2</v>
      </c>
    </row>
    <row r="51" spans="3:21" ht="15" x14ac:dyDescent="0.25">
      <c r="C51" s="49"/>
      <c r="D51" s="49">
        <v>0.9</v>
      </c>
      <c r="E51" s="42">
        <f t="shared" si="11"/>
        <v>0.34109503654663448</v>
      </c>
      <c r="F51" s="54">
        <f t="shared" si="12"/>
        <v>2.4359999999999996E-2</v>
      </c>
      <c r="G51" s="42">
        <f t="shared" si="13"/>
        <v>5.6033503654663433E-2</v>
      </c>
      <c r="R51" s="58" t="s">
        <v>522</v>
      </c>
      <c r="S51" s="39" t="s">
        <v>523</v>
      </c>
      <c r="T51" s="62">
        <v>7.2499999999999995E-2</v>
      </c>
      <c r="U51" s="64">
        <f t="shared" si="10"/>
        <v>9.7299999999999998E-2</v>
      </c>
    </row>
    <row r="52" spans="3:21" ht="15" x14ac:dyDescent="0.25">
      <c r="R52" s="58" t="s">
        <v>524</v>
      </c>
      <c r="S52" s="39" t="s">
        <v>525</v>
      </c>
      <c r="T52" s="62">
        <v>8.7499999999999994E-2</v>
      </c>
      <c r="U52" s="64">
        <f t="shared" si="10"/>
        <v>0.1123</v>
      </c>
    </row>
    <row r="53" spans="3:21" ht="15" x14ac:dyDescent="0.25">
      <c r="R53" s="58" t="s">
        <v>526</v>
      </c>
      <c r="S53" s="39" t="s">
        <v>527</v>
      </c>
      <c r="T53" s="62">
        <v>9.5000000000000001E-2</v>
      </c>
      <c r="U53" s="64">
        <f t="shared" si="10"/>
        <v>0.1198</v>
      </c>
    </row>
    <row r="54" spans="3:21" ht="15" x14ac:dyDescent="0.25">
      <c r="G54" s="42"/>
      <c r="R54" s="58" t="s">
        <v>528</v>
      </c>
      <c r="S54" s="39" t="s">
        <v>529</v>
      </c>
      <c r="T54" s="62">
        <v>0.105</v>
      </c>
      <c r="U54" s="64">
        <f t="shared" si="10"/>
        <v>0.1298</v>
      </c>
    </row>
    <row r="55" spans="3:21" ht="15" x14ac:dyDescent="0.25">
      <c r="R55" s="59" t="s">
        <v>530</v>
      </c>
      <c r="S55" s="60" t="s">
        <v>531</v>
      </c>
      <c r="T55" s="61">
        <v>0.12</v>
      </c>
      <c r="U55" s="64">
        <f t="shared" si="10"/>
        <v>0.14479999999999998</v>
      </c>
    </row>
  </sheetData>
  <mergeCells count="2">
    <mergeCell ref="P5:Q5"/>
    <mergeCell ref="E25:J25"/>
  </mergeCells>
  <hyperlinks>
    <hyperlink ref="C3" r:id="rId1" display="S&amp;P" xr:uid="{7E035D7A-6D2F-40CC-B84B-06207F4DF116}"/>
    <hyperlink ref="C2" r:id="rId2" xr:uid="{D0980CC9-7C1E-413D-B1EE-B16D8751FCD0}"/>
    <hyperlink ref="C4" r:id="rId3" xr:uid="{0CF70E7E-C4AE-4134-975A-0E8DFA562B03}"/>
    <hyperlink ref="T39" r:id="rId4" xr:uid="{CF9752D0-073F-42D4-AD02-9BC4235094A0}"/>
  </hyperlinks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CDAB-DAED-4C51-8567-C5ADA2B6796C}">
  <dimension ref="A1:Q185"/>
  <sheetViews>
    <sheetView topLeftCell="D21" zoomScale="57" workbookViewId="0">
      <selection activeCell="O41" sqref="O41"/>
    </sheetView>
  </sheetViews>
  <sheetFormatPr defaultRowHeight="12.75" x14ac:dyDescent="0.2"/>
  <cols>
    <col min="1" max="1" width="28" bestFit="1" customWidth="1"/>
    <col min="2" max="2" width="17.5703125" customWidth="1"/>
    <col min="3" max="3" width="18" customWidth="1"/>
    <col min="4" max="4" width="34.28515625" customWidth="1"/>
    <col min="5" max="5" width="19" customWidth="1"/>
    <col min="6" max="6" width="22.28515625" bestFit="1" customWidth="1"/>
    <col min="7" max="7" width="17.5703125" customWidth="1"/>
    <col min="8" max="8" width="23" bestFit="1" customWidth="1"/>
    <col min="9" max="9" width="17.140625" customWidth="1"/>
    <col min="10" max="10" width="18.7109375" customWidth="1"/>
    <col min="11" max="11" width="18.85546875" customWidth="1"/>
    <col min="12" max="12" width="15" customWidth="1"/>
    <col min="13" max="13" width="16.140625" customWidth="1"/>
    <col min="16" max="16" width="16.7109375" customWidth="1"/>
    <col min="17" max="18" width="9.140625" bestFit="1" customWidth="1"/>
  </cols>
  <sheetData>
    <row r="1" spans="1:17" x14ac:dyDescent="0.2">
      <c r="A1" s="4" t="s">
        <v>532</v>
      </c>
      <c r="B1" s="42">
        <f>'Credit Rating'!C43</f>
        <v>2.4799999999999999E-2</v>
      </c>
      <c r="C1" t="s">
        <v>496</v>
      </c>
    </row>
    <row r="2" spans="1:17" x14ac:dyDescent="0.2">
      <c r="A2" s="4" t="s">
        <v>534</v>
      </c>
      <c r="B2" s="42">
        <v>5.7000000000000002E-2</v>
      </c>
      <c r="C2" s="40" t="s">
        <v>569</v>
      </c>
    </row>
    <row r="3" spans="1:17" x14ac:dyDescent="0.2">
      <c r="A3" s="4" t="s">
        <v>536</v>
      </c>
      <c r="B3" s="54">
        <v>0.3</v>
      </c>
      <c r="C3" s="40" t="s">
        <v>570</v>
      </c>
    </row>
    <row r="4" spans="1:17" x14ac:dyDescent="0.2">
      <c r="A4" s="4" t="s">
        <v>538</v>
      </c>
      <c r="B4" s="4">
        <v>1.1599999999999999</v>
      </c>
      <c r="I4" s="40" t="s">
        <v>539</v>
      </c>
    </row>
    <row r="5" spans="1:17" x14ac:dyDescent="0.2">
      <c r="A5" s="4" t="s">
        <v>540</v>
      </c>
      <c r="B5">
        <f>Q6</f>
        <v>0.82691984086448878</v>
      </c>
      <c r="P5" s="101" t="s">
        <v>541</v>
      </c>
      <c r="Q5" s="102"/>
    </row>
    <row r="6" spans="1:17" x14ac:dyDescent="0.2">
      <c r="A6" s="4" t="s">
        <v>542</v>
      </c>
      <c r="B6">
        <f>ADDDF!F73</f>
        <v>13095000000</v>
      </c>
      <c r="P6" s="4" t="s">
        <v>543</v>
      </c>
      <c r="Q6" s="4">
        <f>B4/(1+(1-B3)*(B6/B7))</f>
        <v>0.82691984086448878</v>
      </c>
    </row>
    <row r="7" spans="1:17" x14ac:dyDescent="0.2">
      <c r="A7" s="4" t="s">
        <v>573</v>
      </c>
      <c r="B7">
        <f>Dividend!N23*'Income Statement'!F69</f>
        <v>22757166746.16</v>
      </c>
      <c r="C7" s="4" t="s">
        <v>545</v>
      </c>
      <c r="D7" s="40" t="s">
        <v>566</v>
      </c>
    </row>
    <row r="8" spans="1:17" x14ac:dyDescent="0.2">
      <c r="A8" s="4" t="s">
        <v>257</v>
      </c>
      <c r="B8" s="51">
        <f>'Income Statement'!F85</f>
        <v>442000000</v>
      </c>
    </row>
    <row r="9" spans="1:17" x14ac:dyDescent="0.2">
      <c r="A9" t="s">
        <v>449</v>
      </c>
      <c r="B9">
        <f>Ratios!G11</f>
        <v>2.7116564417177913</v>
      </c>
    </row>
    <row r="10" spans="1:17" x14ac:dyDescent="0.2">
      <c r="A10" t="s">
        <v>551</v>
      </c>
      <c r="G10" s="4" t="s">
        <v>546</v>
      </c>
    </row>
    <row r="11" spans="1:17" x14ac:dyDescent="0.2">
      <c r="C11">
        <f>B7/Dividend!O23</f>
        <v>123572799.4470026</v>
      </c>
      <c r="E11" s="16"/>
      <c r="F11" s="16" t="s">
        <v>547</v>
      </c>
      <c r="G11" s="16"/>
      <c r="H11" s="16"/>
    </row>
    <row r="12" spans="1:17" x14ac:dyDescent="0.2">
      <c r="E12" s="17" t="s">
        <v>473</v>
      </c>
      <c r="F12" s="17" t="s">
        <v>548</v>
      </c>
      <c r="G12" s="17" t="s">
        <v>549</v>
      </c>
      <c r="H12" s="17" t="s">
        <v>550</v>
      </c>
    </row>
    <row r="13" spans="1:17" x14ac:dyDescent="0.2">
      <c r="A13" s="42">
        <f>B6/(B6+B7)</f>
        <v>0.36524989110741984</v>
      </c>
      <c r="E13" s="49">
        <v>0</v>
      </c>
      <c r="F13" s="42">
        <f>E13/(1-E13)</f>
        <v>0</v>
      </c>
      <c r="G13">
        <f>$Q$6*(1+(1-$B$3)*(F13))</f>
        <v>0.82691984086448878</v>
      </c>
      <c r="H13" s="42">
        <f>$B$1+G13*$B$2</f>
        <v>7.1934430929275858E-2</v>
      </c>
    </row>
    <row r="14" spans="1:17" x14ac:dyDescent="0.2">
      <c r="E14" s="49">
        <v>0.1</v>
      </c>
      <c r="F14" s="42">
        <f t="shared" ref="F14:F21" si="0">E14/(1-E14)</f>
        <v>0.11111111111111112</v>
      </c>
      <c r="G14">
        <f t="shared" ref="G14:G22" si="1">$Q$6*(1+(1-$B$3)*(F14))</f>
        <v>0.89123582848728233</v>
      </c>
      <c r="H14" s="42">
        <f t="shared" ref="H14:H22" si="2">$B$1+G14*$B$2</f>
        <v>7.5600442223775099E-2</v>
      </c>
    </row>
    <row r="15" spans="1:17" x14ac:dyDescent="0.2">
      <c r="E15" s="49">
        <v>0.2</v>
      </c>
      <c r="F15" s="42">
        <f t="shared" si="0"/>
        <v>0.25</v>
      </c>
      <c r="G15">
        <f t="shared" si="1"/>
        <v>0.97163081301577436</v>
      </c>
      <c r="H15" s="42">
        <f t="shared" si="2"/>
        <v>8.0182956341899134E-2</v>
      </c>
    </row>
    <row r="16" spans="1:17" x14ac:dyDescent="0.2">
      <c r="A16" t="s">
        <v>574</v>
      </c>
      <c r="B16">
        <f>B8*(1-B3)+'Cash Flow Statement'!F7-(-'Cash Flow Statement'!F31-'Cash Flow Statement'!F34-'Cash Flow Statement'!F37-'Cash Flow Statement'!F40)-0</f>
        <v>964400000</v>
      </c>
      <c r="E16" s="49">
        <v>0.3</v>
      </c>
      <c r="F16" s="42">
        <f t="shared" si="0"/>
        <v>0.4285714285714286</v>
      </c>
      <c r="G16">
        <f t="shared" si="1"/>
        <v>1.0749957931238354</v>
      </c>
      <c r="H16" s="42">
        <f t="shared" si="2"/>
        <v>8.6074760208058626E-2</v>
      </c>
    </row>
    <row r="17" spans="1:13" x14ac:dyDescent="0.2">
      <c r="A17" t="s">
        <v>575</v>
      </c>
      <c r="B17" s="42">
        <f>(B19*((Dividend!O23*'Income Statement'!F69)/(B6+(Dividend!O23*'Income Statement'!F69))))+B20*(B6/(B6+(Dividend!O23*'Income Statement'!F69)))</f>
        <v>7.2560176341812888E-2</v>
      </c>
      <c r="E17" s="49">
        <v>0.4</v>
      </c>
      <c r="F17" s="42">
        <f t="shared" si="0"/>
        <v>0.66666666666666674</v>
      </c>
      <c r="G17">
        <f t="shared" si="1"/>
        <v>1.2128157666012502</v>
      </c>
      <c r="H17" s="42">
        <f t="shared" si="2"/>
        <v>9.3930498696271264E-2</v>
      </c>
    </row>
    <row r="18" spans="1:13" x14ac:dyDescent="0.2">
      <c r="A18" t="s">
        <v>576</v>
      </c>
      <c r="B18" s="67">
        <f>B7+B6-B16</f>
        <v>34887766746.160004</v>
      </c>
      <c r="E18" s="49">
        <v>0.5</v>
      </c>
      <c r="F18" s="42">
        <f t="shared" si="0"/>
        <v>1</v>
      </c>
      <c r="G18">
        <f t="shared" si="1"/>
        <v>1.4057637294696308</v>
      </c>
      <c r="H18" s="42">
        <f t="shared" si="2"/>
        <v>0.10492853257976896</v>
      </c>
    </row>
    <row r="19" spans="1:13" x14ac:dyDescent="0.2">
      <c r="A19" t="s">
        <v>561</v>
      </c>
      <c r="B19" s="42">
        <f>B1+B4*B2</f>
        <v>9.0920000000000001E-2</v>
      </c>
      <c r="E19" s="49">
        <v>0.6</v>
      </c>
      <c r="F19" s="42">
        <f t="shared" si="0"/>
        <v>1.4999999999999998</v>
      </c>
      <c r="G19">
        <f t="shared" si="1"/>
        <v>1.6951856737722018</v>
      </c>
      <c r="H19" s="42">
        <f t="shared" si="2"/>
        <v>0.12142558340501551</v>
      </c>
    </row>
    <row r="20" spans="1:13" x14ac:dyDescent="0.2">
      <c r="A20" t="s">
        <v>577</v>
      </c>
      <c r="B20" s="42">
        <f>'Credit Rating'!E49* (1-'WACC Approach Adidas'!B3)</f>
        <v>2.6459999999999997E-2</v>
      </c>
      <c r="E20" s="49">
        <v>0.7</v>
      </c>
      <c r="F20" s="42">
        <f t="shared" si="0"/>
        <v>2.333333333333333</v>
      </c>
      <c r="G20">
        <f t="shared" si="1"/>
        <v>2.1775555809431535</v>
      </c>
      <c r="H20" s="42">
        <f t="shared" si="2"/>
        <v>0.14892066811375976</v>
      </c>
    </row>
    <row r="21" spans="1:13" x14ac:dyDescent="0.2">
      <c r="A21" t="s">
        <v>578</v>
      </c>
      <c r="B21" s="42">
        <f>(B18*B17-B16)/(B18+B16)</f>
        <v>4.3709004210777523E-2</v>
      </c>
      <c r="E21" s="49">
        <v>0.8</v>
      </c>
      <c r="F21" s="42">
        <f t="shared" si="0"/>
        <v>4.0000000000000009</v>
      </c>
      <c r="G21">
        <f t="shared" si="1"/>
        <v>3.1422953952850574</v>
      </c>
      <c r="H21" s="42">
        <f t="shared" si="2"/>
        <v>0.20391083753124828</v>
      </c>
    </row>
    <row r="22" spans="1:13" x14ac:dyDescent="0.2">
      <c r="E22" s="49">
        <v>0.9</v>
      </c>
      <c r="F22" s="42">
        <f>E22/(1-E22)</f>
        <v>9.0000000000000018</v>
      </c>
      <c r="G22">
        <f t="shared" si="1"/>
        <v>6.0365148383107687</v>
      </c>
      <c r="H22" s="42">
        <f t="shared" si="2"/>
        <v>0.36888134578371384</v>
      </c>
    </row>
    <row r="24" spans="1:13" ht="15" x14ac:dyDescent="0.25">
      <c r="E24" s="41" t="s">
        <v>579</v>
      </c>
      <c r="F24" s="62">
        <v>2.4799999999999999E-2</v>
      </c>
    </row>
    <row r="25" spans="1:13" ht="13.15" customHeight="1" x14ac:dyDescent="0.2">
      <c r="A25" t="s">
        <v>580</v>
      </c>
      <c r="B25">
        <f>(B16*(1+B21))/(G44-B21)</f>
        <v>37685400591.706573</v>
      </c>
      <c r="E25" s="103" t="s">
        <v>552</v>
      </c>
      <c r="F25" s="103"/>
      <c r="G25" s="103"/>
      <c r="H25" s="103"/>
      <c r="I25" s="103"/>
      <c r="J25" s="103"/>
    </row>
    <row r="26" spans="1:13" x14ac:dyDescent="0.2">
      <c r="D26" s="41" t="s">
        <v>473</v>
      </c>
      <c r="E26" t="s">
        <v>548</v>
      </c>
      <c r="F26" s="41" t="s">
        <v>553</v>
      </c>
      <c r="G26" s="41" t="s">
        <v>257</v>
      </c>
      <c r="H26" s="41" t="s">
        <v>554</v>
      </c>
      <c r="I26" s="41" t="s">
        <v>555</v>
      </c>
      <c r="J26" s="41" t="s">
        <v>556</v>
      </c>
      <c r="K26" s="17" t="s">
        <v>557</v>
      </c>
      <c r="L26" s="17" t="s">
        <v>558</v>
      </c>
      <c r="M26" s="17" t="s">
        <v>559</v>
      </c>
    </row>
    <row r="27" spans="1:13" ht="15" x14ac:dyDescent="0.25">
      <c r="A27" s="49"/>
      <c r="B27" s="49"/>
      <c r="D27" s="49">
        <v>0</v>
      </c>
      <c r="E27" s="42">
        <f t="shared" ref="E27:E36" si="3">D27/(1-D27)</f>
        <v>0</v>
      </c>
      <c r="F27">
        <f t="shared" ref="F27:F36" si="4">$B$7*D27</f>
        <v>0</v>
      </c>
      <c r="G27" s="51">
        <f t="shared" ref="G27:G36" si="5">$B$8</f>
        <v>442000000</v>
      </c>
      <c r="H27" s="3">
        <f t="shared" ref="H27:H36" si="6">F27*$F$24</f>
        <v>0</v>
      </c>
      <c r="I27" s="53" t="e">
        <f t="shared" ref="I27:I36" si="7">G27/H27</f>
        <v>#DIV/0!</v>
      </c>
      <c r="J27" s="39" t="str">
        <f>'Credit Rating'!C45</f>
        <v>Aaa/AAA</v>
      </c>
      <c r="K27" s="42">
        <f>B1+'Credit Rating'!D45</f>
        <v>2.8799999999999999E-2</v>
      </c>
      <c r="L27" s="42">
        <f>$B$3</f>
        <v>0.3</v>
      </c>
      <c r="M27" s="54">
        <f>K27*(1-L27)</f>
        <v>2.0159999999999997E-2</v>
      </c>
    </row>
    <row r="28" spans="1:13" ht="15" x14ac:dyDescent="0.25">
      <c r="A28" s="49" t="s">
        <v>581</v>
      </c>
      <c r="B28" s="87">
        <f>B25-B7</f>
        <v>14928233845.546574</v>
      </c>
      <c r="C28" t="s">
        <v>582</v>
      </c>
      <c r="D28" s="49">
        <v>0.1</v>
      </c>
      <c r="E28" s="42">
        <f t="shared" si="3"/>
        <v>0.11111111111111112</v>
      </c>
      <c r="F28">
        <f t="shared" si="4"/>
        <v>2275716674.6160002</v>
      </c>
      <c r="G28" s="51">
        <f t="shared" si="5"/>
        <v>442000000</v>
      </c>
      <c r="H28" s="3">
        <f t="shared" si="6"/>
        <v>56437773.530476801</v>
      </c>
      <c r="I28" s="52">
        <f t="shared" si="7"/>
        <v>7.8316342468987878</v>
      </c>
      <c r="J28" s="39" t="str">
        <f>'Credit Rating'!C48</f>
        <v>A2/A</v>
      </c>
      <c r="K28" s="42">
        <f>'WACC Approach Adidas'!B1+'Credit Rating'!D48</f>
        <v>3.4799999999999998E-2</v>
      </c>
      <c r="L28" s="42">
        <f t="shared" ref="L28:L31" si="8">$B$3</f>
        <v>0.3</v>
      </c>
      <c r="M28" s="54">
        <f t="shared" ref="M28:M36" si="9">K28*(1-L28)</f>
        <v>2.4359999999999996E-2</v>
      </c>
    </row>
    <row r="29" spans="1:13" ht="15" x14ac:dyDescent="0.25">
      <c r="A29" s="49"/>
      <c r="B29" s="49"/>
      <c r="D29" s="49">
        <v>0.2</v>
      </c>
      <c r="E29" s="42">
        <f t="shared" si="3"/>
        <v>0.25</v>
      </c>
      <c r="F29">
        <f t="shared" si="4"/>
        <v>4551433349.2320004</v>
      </c>
      <c r="G29" s="51">
        <f t="shared" si="5"/>
        <v>442000000</v>
      </c>
      <c r="H29" s="3">
        <f t="shared" si="6"/>
        <v>112875547.0609536</v>
      </c>
      <c r="I29" s="52">
        <f t="shared" si="7"/>
        <v>3.9158171234493939</v>
      </c>
      <c r="J29" s="39" t="str">
        <f>'Credit Rating'!C50</f>
        <v>Baa2/BBB</v>
      </c>
      <c r="K29" s="42">
        <f>B1+'Credit Rating'!D50</f>
        <v>4.48E-2</v>
      </c>
      <c r="L29" s="42">
        <f t="shared" si="8"/>
        <v>0.3</v>
      </c>
      <c r="M29" s="54">
        <f t="shared" si="9"/>
        <v>3.1359999999999999E-2</v>
      </c>
    </row>
    <row r="30" spans="1:13" ht="15" x14ac:dyDescent="0.25">
      <c r="A30" s="49"/>
      <c r="B30" s="49"/>
      <c r="D30" s="49">
        <v>0.3</v>
      </c>
      <c r="E30" s="42">
        <f t="shared" si="3"/>
        <v>0.4285714285714286</v>
      </c>
      <c r="F30">
        <f t="shared" si="4"/>
        <v>6827150023.8479996</v>
      </c>
      <c r="G30" s="51">
        <f t="shared" si="5"/>
        <v>442000000</v>
      </c>
      <c r="H30" s="3">
        <f t="shared" si="6"/>
        <v>169313320.5914304</v>
      </c>
      <c r="I30" s="52">
        <f t="shared" si="7"/>
        <v>2.6105447489662628</v>
      </c>
      <c r="J30" s="39" t="str">
        <f>'Credit Rating'!C53</f>
        <v>B1/B+</v>
      </c>
      <c r="K30" s="42">
        <f>B1+'Credit Rating'!D53</f>
        <v>7.9799999999999996E-2</v>
      </c>
      <c r="L30" s="42">
        <f t="shared" si="8"/>
        <v>0.3</v>
      </c>
      <c r="M30" s="54">
        <f t="shared" si="9"/>
        <v>5.5859999999999993E-2</v>
      </c>
    </row>
    <row r="31" spans="1:13" ht="15" x14ac:dyDescent="0.25">
      <c r="A31" s="49"/>
      <c r="B31" s="49"/>
      <c r="D31" s="49">
        <v>0.4</v>
      </c>
      <c r="E31" s="42">
        <f t="shared" si="3"/>
        <v>0.66666666666666674</v>
      </c>
      <c r="F31">
        <f t="shared" si="4"/>
        <v>9102866698.4640007</v>
      </c>
      <c r="G31" s="51">
        <f t="shared" si="5"/>
        <v>442000000</v>
      </c>
      <c r="H31" s="3">
        <f t="shared" si="6"/>
        <v>225751094.1219072</v>
      </c>
      <c r="I31" s="52">
        <f t="shared" si="7"/>
        <v>1.957908561724697</v>
      </c>
      <c r="J31" s="39" t="str">
        <f>'Credit Rating'!C55</f>
        <v>B3/B-</v>
      </c>
      <c r="K31" s="42">
        <f>B1+'Credit Rating'!D55</f>
        <v>9.7299999999999998E-2</v>
      </c>
      <c r="L31" s="42">
        <f t="shared" si="8"/>
        <v>0.3</v>
      </c>
      <c r="M31" s="54">
        <f t="shared" si="9"/>
        <v>6.810999999999999E-2</v>
      </c>
    </row>
    <row r="32" spans="1:13" ht="15" x14ac:dyDescent="0.25">
      <c r="A32" s="49"/>
      <c r="B32" s="49"/>
      <c r="D32" s="49">
        <v>0.5</v>
      </c>
      <c r="E32" s="42">
        <f t="shared" si="3"/>
        <v>1</v>
      </c>
      <c r="F32">
        <f t="shared" si="4"/>
        <v>11378583373.08</v>
      </c>
      <c r="G32" s="51">
        <f t="shared" si="5"/>
        <v>442000000</v>
      </c>
      <c r="H32" s="3">
        <f t="shared" si="6"/>
        <v>282188867.65238398</v>
      </c>
      <c r="I32" s="52">
        <f t="shared" si="7"/>
        <v>1.5663268493797575</v>
      </c>
      <c r="J32" s="39" t="str">
        <f>'Credit Rating'!C56</f>
        <v>Caa/CCC</v>
      </c>
      <c r="K32" s="42">
        <f>B1+'Credit Rating'!D56</f>
        <v>0.1123</v>
      </c>
      <c r="L32" s="42">
        <f>30%</f>
        <v>0.3</v>
      </c>
      <c r="M32" s="54">
        <f t="shared" si="9"/>
        <v>7.8609999999999999E-2</v>
      </c>
    </row>
    <row r="33" spans="1:16" ht="15" x14ac:dyDescent="0.25">
      <c r="A33" s="49"/>
      <c r="B33" s="49"/>
      <c r="D33" s="49">
        <v>0.6</v>
      </c>
      <c r="E33" s="42">
        <f t="shared" si="3"/>
        <v>1.4999999999999998</v>
      </c>
      <c r="F33">
        <f t="shared" si="4"/>
        <v>13654300047.695999</v>
      </c>
      <c r="G33" s="51">
        <f t="shared" si="5"/>
        <v>442000000</v>
      </c>
      <c r="H33" s="3">
        <f t="shared" si="6"/>
        <v>338626641.18286079</v>
      </c>
      <c r="I33" s="52">
        <f t="shared" si="7"/>
        <v>1.3052723744831314</v>
      </c>
      <c r="J33" s="39" t="str">
        <f>'Credit Rating'!C56</f>
        <v>Caa/CCC</v>
      </c>
      <c r="K33" s="42">
        <f>B1+'Credit Rating'!D56</f>
        <v>0.1123</v>
      </c>
      <c r="L33" s="42">
        <f>30%</f>
        <v>0.3</v>
      </c>
      <c r="M33" s="54">
        <f t="shared" si="9"/>
        <v>7.8609999999999999E-2</v>
      </c>
    </row>
    <row r="34" spans="1:16" ht="15" x14ac:dyDescent="0.25">
      <c r="A34" s="49"/>
      <c r="B34" s="49"/>
      <c r="D34" s="49">
        <v>0.7</v>
      </c>
      <c r="E34" s="42">
        <f t="shared" si="3"/>
        <v>2.333333333333333</v>
      </c>
      <c r="F34">
        <f t="shared" si="4"/>
        <v>15930016722.311998</v>
      </c>
      <c r="G34" s="51">
        <f t="shared" si="5"/>
        <v>442000000</v>
      </c>
      <c r="H34" s="3">
        <f t="shared" si="6"/>
        <v>395064414.71333754</v>
      </c>
      <c r="I34" s="52">
        <f t="shared" si="7"/>
        <v>1.1188048924141127</v>
      </c>
      <c r="J34" s="39" t="str">
        <f>'Credit Rating'!C57</f>
        <v>Ca2/CC</v>
      </c>
      <c r="K34" s="42">
        <f>B1+'Credit Rating'!D57</f>
        <v>0.1198</v>
      </c>
      <c r="L34" s="42">
        <f>30%</f>
        <v>0.3</v>
      </c>
      <c r="M34" s="54">
        <f t="shared" si="9"/>
        <v>8.3860000000000004E-2</v>
      </c>
    </row>
    <row r="35" spans="1:16" ht="15" x14ac:dyDescent="0.25">
      <c r="A35" s="49"/>
      <c r="B35" s="49"/>
      <c r="D35" s="49">
        <v>0.8</v>
      </c>
      <c r="E35" s="42">
        <f t="shared" si="3"/>
        <v>4.0000000000000009</v>
      </c>
      <c r="F35">
        <f t="shared" si="4"/>
        <v>18205733396.928001</v>
      </c>
      <c r="G35" s="51">
        <f t="shared" si="5"/>
        <v>442000000</v>
      </c>
      <c r="H35" s="3">
        <f t="shared" si="6"/>
        <v>451502188.24381441</v>
      </c>
      <c r="I35" s="52">
        <f t="shared" si="7"/>
        <v>0.97895428086234848</v>
      </c>
      <c r="J35" s="39" t="str">
        <f>'Credit Rating'!C57</f>
        <v>Ca2/CC</v>
      </c>
      <c r="K35" s="42">
        <f>B1+'Credit Rating'!D58</f>
        <v>0.1298</v>
      </c>
      <c r="L35" s="42">
        <f>(G35*$B$3)/H35</f>
        <v>0.29368628425870452</v>
      </c>
      <c r="M35" s="54">
        <f t="shared" si="9"/>
        <v>9.1679520303220158E-2</v>
      </c>
    </row>
    <row r="36" spans="1:16" ht="15" x14ac:dyDescent="0.25">
      <c r="A36" s="49"/>
      <c r="B36" s="49"/>
      <c r="D36" s="49">
        <v>0.9</v>
      </c>
      <c r="E36" s="42">
        <f t="shared" si="3"/>
        <v>9.0000000000000018</v>
      </c>
      <c r="F36">
        <f t="shared" si="4"/>
        <v>20481450071.543999</v>
      </c>
      <c r="G36" s="51">
        <f t="shared" si="5"/>
        <v>442000000</v>
      </c>
      <c r="H36" s="3">
        <f t="shared" si="6"/>
        <v>507939961.77429116</v>
      </c>
      <c r="I36" s="52">
        <f t="shared" si="7"/>
        <v>0.87018158298875425</v>
      </c>
      <c r="J36" s="39" t="str">
        <f>'Credit Rating'!C58</f>
        <v>C2/C</v>
      </c>
      <c r="K36" s="42">
        <f>B1+'Credit Rating'!D58</f>
        <v>0.1298</v>
      </c>
      <c r="L36" s="42">
        <f>(G36*$B$3)/H36</f>
        <v>0.26105447489662625</v>
      </c>
      <c r="M36" s="54">
        <f t="shared" si="9"/>
        <v>9.5915129158417906E-2</v>
      </c>
    </row>
    <row r="37" spans="1:16" ht="15" x14ac:dyDescent="0.25">
      <c r="I37" s="39"/>
      <c r="J37" s="39"/>
    </row>
    <row r="38" spans="1:16" ht="15" x14ac:dyDescent="0.25">
      <c r="I38" s="39"/>
      <c r="J38" s="39"/>
    </row>
    <row r="39" spans="1:16" ht="15" x14ac:dyDescent="0.25">
      <c r="G39" s="3"/>
      <c r="I39" s="39"/>
      <c r="J39" s="39"/>
    </row>
    <row r="40" spans="1:16" ht="15" x14ac:dyDescent="0.25">
      <c r="E40" t="s">
        <v>583</v>
      </c>
      <c r="G40" s="3"/>
      <c r="I40" s="39"/>
      <c r="J40" s="39"/>
    </row>
    <row r="41" spans="1:16" ht="15" x14ac:dyDescent="0.25">
      <c r="D41" s="95" t="s">
        <v>473</v>
      </c>
      <c r="E41" s="95" t="s">
        <v>561</v>
      </c>
      <c r="F41" s="95" t="s">
        <v>562</v>
      </c>
      <c r="G41" s="95" t="s">
        <v>563</v>
      </c>
      <c r="I41" s="39"/>
      <c r="J41" s="39"/>
    </row>
    <row r="42" spans="1:16" x14ac:dyDescent="0.2">
      <c r="C42" s="49"/>
      <c r="D42" s="49">
        <v>0</v>
      </c>
      <c r="E42" s="42">
        <f t="shared" ref="E42:E51" si="10">H13</f>
        <v>7.1934430929275858E-2</v>
      </c>
      <c r="F42" s="54">
        <f t="shared" ref="F42:F51" si="11">M27</f>
        <v>2.0159999999999997E-2</v>
      </c>
      <c r="G42" s="42">
        <f>((E42*(1-D42))+(F42*D42))</f>
        <v>7.1934430929275858E-2</v>
      </c>
    </row>
    <row r="43" spans="1:16" x14ac:dyDescent="0.2">
      <c r="C43" s="49"/>
      <c r="D43" s="49">
        <v>0.1</v>
      </c>
      <c r="E43" s="42">
        <f t="shared" si="10"/>
        <v>7.5600442223775099E-2</v>
      </c>
      <c r="F43" s="74">
        <f t="shared" si="11"/>
        <v>2.4359999999999996E-2</v>
      </c>
      <c r="G43" s="75">
        <f>((E43*(100%-D43))+(F43*D43))</f>
        <v>7.0476398001397586E-2</v>
      </c>
    </row>
    <row r="44" spans="1:16" x14ac:dyDescent="0.2">
      <c r="C44" s="49"/>
      <c r="D44" s="76">
        <v>0.2</v>
      </c>
      <c r="E44" s="66">
        <f t="shared" si="10"/>
        <v>8.0182956341899134E-2</v>
      </c>
      <c r="F44" s="65">
        <f t="shared" si="11"/>
        <v>3.1359999999999999E-2</v>
      </c>
      <c r="G44" s="66">
        <f t="shared" ref="G44:G51" si="12">((E44*(100%-D44))+(F44*D44))</f>
        <v>7.0418365073519312E-2</v>
      </c>
      <c r="H44" s="3"/>
      <c r="P44" s="3"/>
    </row>
    <row r="45" spans="1:16" x14ac:dyDescent="0.2">
      <c r="C45" s="49"/>
      <c r="D45" s="49">
        <v>0.3</v>
      </c>
      <c r="E45" s="42">
        <f t="shared" si="10"/>
        <v>8.6074760208058626E-2</v>
      </c>
      <c r="F45" s="54">
        <f t="shared" si="11"/>
        <v>5.5859999999999993E-2</v>
      </c>
      <c r="G45" s="42">
        <f t="shared" si="12"/>
        <v>7.7010332145641028E-2</v>
      </c>
      <c r="P45" s="3"/>
    </row>
    <row r="46" spans="1:16" x14ac:dyDescent="0.2">
      <c r="C46" s="49"/>
      <c r="D46" s="49">
        <v>0.4</v>
      </c>
      <c r="E46" s="42">
        <f t="shared" si="10"/>
        <v>9.3930498696271264E-2</v>
      </c>
      <c r="F46" s="54">
        <f t="shared" si="11"/>
        <v>6.810999999999999E-2</v>
      </c>
      <c r="G46" s="42">
        <f t="shared" si="12"/>
        <v>8.3602299217762743E-2</v>
      </c>
      <c r="P46" s="3"/>
    </row>
    <row r="47" spans="1:16" x14ac:dyDescent="0.2">
      <c r="C47" s="49"/>
      <c r="D47" s="49">
        <v>0.5</v>
      </c>
      <c r="E47" s="42">
        <f t="shared" si="10"/>
        <v>0.10492853257976896</v>
      </c>
      <c r="F47" s="54">
        <f t="shared" si="11"/>
        <v>7.8609999999999999E-2</v>
      </c>
      <c r="G47" s="42">
        <f t="shared" si="12"/>
        <v>9.176926628988448E-2</v>
      </c>
      <c r="P47" s="3"/>
    </row>
    <row r="48" spans="1:16" x14ac:dyDescent="0.2">
      <c r="C48" s="49"/>
      <c r="D48" s="49">
        <v>0.6</v>
      </c>
      <c r="E48" s="42">
        <f t="shared" si="10"/>
        <v>0.12142558340501551</v>
      </c>
      <c r="F48" s="54">
        <f t="shared" si="11"/>
        <v>7.8609999999999999E-2</v>
      </c>
      <c r="G48" s="42">
        <f t="shared" si="12"/>
        <v>9.5736233362006207E-2</v>
      </c>
      <c r="P48" s="3"/>
    </row>
    <row r="49" spans="3:16" x14ac:dyDescent="0.2">
      <c r="C49" s="49"/>
      <c r="D49" s="49">
        <v>0.7</v>
      </c>
      <c r="E49" s="42">
        <f t="shared" si="10"/>
        <v>0.14892066811375976</v>
      </c>
      <c r="F49" s="54">
        <f t="shared" si="11"/>
        <v>8.3860000000000004E-2</v>
      </c>
      <c r="G49" s="42">
        <f t="shared" si="12"/>
        <v>0.10337820043412793</v>
      </c>
      <c r="P49" s="3"/>
    </row>
    <row r="50" spans="3:16" x14ac:dyDescent="0.2">
      <c r="C50" s="49"/>
      <c r="D50" s="49">
        <v>0.8</v>
      </c>
      <c r="E50" s="42">
        <f t="shared" si="10"/>
        <v>0.20391083753124828</v>
      </c>
      <c r="F50" s="54">
        <f t="shared" si="11"/>
        <v>9.1679520303220158E-2</v>
      </c>
      <c r="G50" s="42">
        <f t="shared" si="12"/>
        <v>0.11412578374882577</v>
      </c>
      <c r="P50" s="3"/>
    </row>
    <row r="51" spans="3:16" x14ac:dyDescent="0.2">
      <c r="C51" s="49"/>
      <c r="D51" s="49">
        <v>0.9</v>
      </c>
      <c r="E51" s="42">
        <f t="shared" si="10"/>
        <v>0.36888134578371384</v>
      </c>
      <c r="F51" s="54">
        <f t="shared" si="11"/>
        <v>9.5915129158417906E-2</v>
      </c>
      <c r="G51" s="42">
        <f t="shared" si="12"/>
        <v>0.12321175082094749</v>
      </c>
      <c r="P51" s="3"/>
    </row>
    <row r="52" spans="3:16" x14ac:dyDescent="0.2">
      <c r="P52" s="3"/>
    </row>
    <row r="53" spans="3:16" x14ac:dyDescent="0.2">
      <c r="P53" s="3"/>
    </row>
    <row r="54" spans="3:16" x14ac:dyDescent="0.2">
      <c r="P54" s="3"/>
    </row>
    <row r="55" spans="3:16" x14ac:dyDescent="0.2">
      <c r="P55" s="3"/>
    </row>
    <row r="56" spans="3:16" x14ac:dyDescent="0.2">
      <c r="P56" s="3"/>
    </row>
    <row r="79" spans="4:4" x14ac:dyDescent="0.2">
      <c r="D79" t="s">
        <v>584</v>
      </c>
    </row>
    <row r="185" spans="6:6" x14ac:dyDescent="0.2">
      <c r="F185" t="s">
        <v>585</v>
      </c>
    </row>
  </sheetData>
  <mergeCells count="2">
    <mergeCell ref="P5:Q5"/>
    <mergeCell ref="E25:J25"/>
  </mergeCells>
  <hyperlinks>
    <hyperlink ref="I4" r:id="rId1" display="https://finance.yahoo.com/quote/ADS.DE/" xr:uid="{862E1ABF-947C-47D1-A182-98706142303C}"/>
    <hyperlink ref="D7" r:id="rId2" display="https://finance.yahoo.com/quote/ADS.DE/history/?period1=1703030400&amp;period2=1704412800" xr:uid="{B8936A02-1241-4C66-8F0C-D3923D992609}"/>
    <hyperlink ref="C3" r:id="rId3" display="S&amp;P" xr:uid="{A9AA52F7-B158-436B-95CF-7E4BBB9829FD}"/>
    <hyperlink ref="C2" r:id="rId4" xr:uid="{C3E37446-8AC8-4D53-A7B1-74A0699F8577}"/>
  </hyperlinks>
  <pageMargins left="0.7" right="0.7" top="0.75" bottom="0.75" header="0.3" footer="0.3"/>
  <drawing r:id="rId5"/>
  <legacyDrawing r:id="rId6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EBA4-1BFE-4BF1-BB20-356B15FC2FD5}">
  <dimension ref="A1:G20"/>
  <sheetViews>
    <sheetView workbookViewId="0">
      <selection sqref="A1:F6"/>
    </sheetView>
  </sheetViews>
  <sheetFormatPr defaultRowHeight="12.75" x14ac:dyDescent="0.2"/>
  <cols>
    <col min="1" max="1" width="36.5703125" bestFit="1" customWidth="1"/>
  </cols>
  <sheetData>
    <row r="1" spans="1:6" ht="35.25" customHeight="1" x14ac:dyDescent="0.2">
      <c r="A1" s="104" t="s">
        <v>586</v>
      </c>
      <c r="B1" s="104"/>
      <c r="C1" s="104"/>
      <c r="D1" s="104"/>
      <c r="E1" s="104"/>
      <c r="F1" s="104"/>
    </row>
    <row r="2" spans="1:6" x14ac:dyDescent="0.2">
      <c r="A2" s="104"/>
      <c r="B2" s="104"/>
      <c r="C2" s="104"/>
      <c r="D2" s="104"/>
      <c r="E2" s="104"/>
      <c r="F2" s="104"/>
    </row>
    <row r="3" spans="1:6" x14ac:dyDescent="0.2">
      <c r="A3" s="104"/>
      <c r="B3" s="104"/>
      <c r="C3" s="104"/>
      <c r="D3" s="104"/>
      <c r="E3" s="104"/>
      <c r="F3" s="104"/>
    </row>
    <row r="4" spans="1:6" x14ac:dyDescent="0.2">
      <c r="A4" s="104"/>
      <c r="B4" s="104"/>
      <c r="C4" s="104"/>
      <c r="D4" s="104"/>
      <c r="E4" s="104"/>
      <c r="F4" s="104"/>
    </row>
    <row r="5" spans="1:6" x14ac:dyDescent="0.2">
      <c r="A5" s="104"/>
      <c r="B5" s="104"/>
      <c r="C5" s="104"/>
      <c r="D5" s="104"/>
      <c r="E5" s="104"/>
      <c r="F5" s="104"/>
    </row>
    <row r="6" spans="1:6" x14ac:dyDescent="0.2">
      <c r="A6" s="104"/>
      <c r="B6" s="104"/>
      <c r="C6" s="104"/>
      <c r="D6" s="104"/>
      <c r="E6" s="104"/>
      <c r="F6" s="104"/>
    </row>
    <row r="20" spans="1:7" x14ac:dyDescent="0.2">
      <c r="A20" s="96"/>
      <c r="B20" s="96"/>
      <c r="C20" s="96"/>
      <c r="D20" s="96"/>
      <c r="E20" s="96"/>
      <c r="F20" s="96"/>
      <c r="G20" s="96"/>
    </row>
  </sheetData>
  <mergeCells count="1">
    <mergeCell ref="A1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7CF9-9D5C-44E8-84C8-FD81FE4CCFF2}">
  <dimension ref="B1:P90"/>
  <sheetViews>
    <sheetView topLeftCell="A12" workbookViewId="0">
      <selection activeCell="H36" sqref="H36"/>
    </sheetView>
  </sheetViews>
  <sheetFormatPr defaultRowHeight="12.75" x14ac:dyDescent="0.2"/>
  <cols>
    <col min="2" max="2" width="28.140625" bestFit="1" customWidth="1"/>
    <col min="3" max="3" width="17" bestFit="1" customWidth="1"/>
    <col min="4" max="7" width="14.85546875" bestFit="1" customWidth="1"/>
    <col min="10" max="10" width="25.5703125" customWidth="1"/>
    <col min="14" max="14" width="34.7109375" customWidth="1"/>
    <col min="16" max="16" width="12.7109375" bestFit="1" customWidth="1"/>
  </cols>
  <sheetData>
    <row r="1" spans="2:14" x14ac:dyDescent="0.2">
      <c r="B1" s="97" t="s">
        <v>587</v>
      </c>
      <c r="C1" s="97"/>
      <c r="D1" s="97"/>
      <c r="E1" s="97"/>
      <c r="F1" s="97"/>
      <c r="G1" s="97"/>
    </row>
    <row r="3" spans="2:14" s="87" customFormat="1" x14ac:dyDescent="0.2">
      <c r="B3" s="85" t="s">
        <v>462</v>
      </c>
      <c r="C3" s="86" t="s">
        <v>1</v>
      </c>
      <c r="D3" s="86" t="s">
        <v>2</v>
      </c>
      <c r="E3" s="86" t="s">
        <v>3</v>
      </c>
      <c r="F3" s="86" t="s">
        <v>4</v>
      </c>
      <c r="G3" s="86" t="s">
        <v>5</v>
      </c>
      <c r="J3" s="90"/>
      <c r="K3" s="90"/>
      <c r="L3" s="90"/>
      <c r="M3" s="90"/>
      <c r="N3" s="90"/>
    </row>
    <row r="4" spans="2:14" x14ac:dyDescent="0.2">
      <c r="B4" s="4" t="s">
        <v>432</v>
      </c>
      <c r="C4" s="50">
        <f>'Income Statement'!B71</f>
        <v>3.35</v>
      </c>
      <c r="D4">
        <f>'Income Statement'!C71</f>
        <v>0</v>
      </c>
      <c r="E4" s="50">
        <f>'Income Statement'!D71</f>
        <v>3</v>
      </c>
      <c r="F4" s="50">
        <f>'Income Statement'!E71</f>
        <v>3.3</v>
      </c>
      <c r="G4" s="50">
        <f>'Income Statement'!F71</f>
        <v>0.7</v>
      </c>
    </row>
    <row r="5" spans="2:14" x14ac:dyDescent="0.2">
      <c r="B5" s="4" t="s">
        <v>465</v>
      </c>
      <c r="C5" s="50">
        <f>Competitors!B40</f>
        <v>0.86</v>
      </c>
      <c r="D5" s="50">
        <f>Competitors!C40</f>
        <v>0.95</v>
      </c>
      <c r="E5" s="50">
        <f>Competitors!D40</f>
        <v>1.07</v>
      </c>
      <c r="F5" s="50">
        <f>Competitors!E40</f>
        <v>1.19</v>
      </c>
      <c r="G5" s="50">
        <f>Competitors!F40</f>
        <v>1.32</v>
      </c>
    </row>
    <row r="6" spans="2:14" x14ac:dyDescent="0.2">
      <c r="B6" t="s">
        <v>334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</row>
    <row r="7" spans="2:14" x14ac:dyDescent="0.2">
      <c r="B7" s="4" t="s">
        <v>335</v>
      </c>
      <c r="C7" s="50">
        <f>Competitors!W66</f>
        <v>0.35</v>
      </c>
      <c r="D7" s="50">
        <f>Competitors!X66</f>
        <v>0</v>
      </c>
      <c r="E7" s="50">
        <f>Competitors!Y66</f>
        <v>0.16</v>
      </c>
      <c r="F7" s="50">
        <f>Competitors!Z66</f>
        <v>0.72</v>
      </c>
      <c r="G7" s="50">
        <f>Competitors!AA66</f>
        <v>0.82</v>
      </c>
    </row>
    <row r="11" spans="2:14" x14ac:dyDescent="0.2">
      <c r="B11" s="97" t="s">
        <v>588</v>
      </c>
      <c r="C11" s="97"/>
      <c r="D11" s="97"/>
      <c r="E11" s="97"/>
      <c r="F11" s="97"/>
      <c r="G11" s="97"/>
    </row>
    <row r="13" spans="2:14" x14ac:dyDescent="0.2">
      <c r="B13" s="85" t="s">
        <v>462</v>
      </c>
      <c r="C13" s="86" t="s">
        <v>1</v>
      </c>
      <c r="D13" s="86" t="s">
        <v>2</v>
      </c>
      <c r="E13" s="86" t="s">
        <v>3</v>
      </c>
      <c r="F13" s="86" t="s">
        <v>4</v>
      </c>
      <c r="G13" s="86" t="s">
        <v>5</v>
      </c>
    </row>
    <row r="14" spans="2:14" x14ac:dyDescent="0.2">
      <c r="B14" s="88" t="s">
        <v>432</v>
      </c>
      <c r="C14" s="89">
        <f>C4/'Income Statement'!B75</f>
        <v>0.33500000000000002</v>
      </c>
      <c r="D14" s="89">
        <f>D4/'Income Statement'!C75</f>
        <v>0</v>
      </c>
      <c r="E14" s="89">
        <f>E4/'Income Statement'!D75</f>
        <v>0.27522935779816515</v>
      </c>
      <c r="F14" s="89">
        <f>F4/'Income Statement'!E75</f>
        <v>0.9880239520958084</v>
      </c>
      <c r="G14" s="89">
        <f>G4/'Income Statement'!F75</f>
        <v>-1.6666666666666665</v>
      </c>
    </row>
    <row r="15" spans="2:14" x14ac:dyDescent="0.2">
      <c r="B15" s="88" t="s">
        <v>465</v>
      </c>
      <c r="C15" s="89">
        <f>C5/Competitors!B42</f>
        <v>0.33725490196078434</v>
      </c>
      <c r="D15" s="89">
        <f>D5/Competitors!C42</f>
        <v>0.58282208588957052</v>
      </c>
      <c r="E15" s="89">
        <f>E5/Competitors!D42</f>
        <v>0.29395604395604397</v>
      </c>
      <c r="F15" s="89">
        <f>F5/Competitors!E42</f>
        <v>0.31070496083550914</v>
      </c>
      <c r="G15" s="89">
        <f>G5/Competitors!F42</f>
        <v>0.40366972477064222</v>
      </c>
    </row>
    <row r="16" spans="2:14" x14ac:dyDescent="0.2">
      <c r="B16" s="87" t="s">
        <v>334</v>
      </c>
      <c r="C16" s="89">
        <f>C6/Competitors!L47</f>
        <v>0</v>
      </c>
      <c r="D16" s="89">
        <f>D6/Competitors!M47</f>
        <v>0</v>
      </c>
      <c r="E16" s="89">
        <f>E6/Competitors!N47</f>
        <v>0</v>
      </c>
      <c r="F16" s="89">
        <f>F6/Competitors!O47</f>
        <v>0</v>
      </c>
      <c r="G16" s="89">
        <f>G6/Competitors!P47</f>
        <v>0</v>
      </c>
    </row>
    <row r="17" spans="2:16" x14ac:dyDescent="0.2">
      <c r="B17" s="88" t="s">
        <v>335</v>
      </c>
      <c r="C17" s="89">
        <f>C7/Competitors!W69</f>
        <v>0.19886363636363635</v>
      </c>
      <c r="D17" s="89">
        <f>D7/Competitors!X69</f>
        <v>0</v>
      </c>
      <c r="E17" s="89">
        <f>E7/Competitors!Y69</f>
        <v>7.7294685990338174E-2</v>
      </c>
      <c r="F17" s="89">
        <f>F7/Competitors!Z69</f>
        <v>0.30508474576271188</v>
      </c>
      <c r="G17" s="89">
        <f>G7/Competitors!AA69</f>
        <v>0.4039408866995074</v>
      </c>
    </row>
    <row r="20" spans="2:16" ht="23.25" customHeight="1" x14ac:dyDescent="0.2">
      <c r="B20" s="97" t="s">
        <v>589</v>
      </c>
      <c r="C20" s="97"/>
      <c r="D20" s="97"/>
      <c r="E20" s="97"/>
      <c r="F20" s="97"/>
      <c r="G20" s="97"/>
      <c r="J20" s="105" t="s">
        <v>590</v>
      </c>
      <c r="K20" s="105"/>
      <c r="L20" s="105"/>
      <c r="M20" s="105"/>
      <c r="N20" s="105"/>
    </row>
    <row r="21" spans="2:16" x14ac:dyDescent="0.2">
      <c r="B21" t="s">
        <v>591</v>
      </c>
    </row>
    <row r="22" spans="2:16" x14ac:dyDescent="0.2">
      <c r="B22" s="17" t="s">
        <v>462</v>
      </c>
      <c r="C22" s="18" t="s">
        <v>1</v>
      </c>
      <c r="D22" s="18" t="s">
        <v>2</v>
      </c>
      <c r="E22" s="18" t="s">
        <v>3</v>
      </c>
      <c r="F22" s="18" t="s">
        <v>4</v>
      </c>
      <c r="G22" s="18" t="s">
        <v>5</v>
      </c>
      <c r="J22" s="17" t="s">
        <v>462</v>
      </c>
      <c r="K22" s="18" t="s">
        <v>1</v>
      </c>
      <c r="L22" s="18" t="s">
        <v>2</v>
      </c>
      <c r="M22" s="18" t="s">
        <v>3</v>
      </c>
      <c r="N22" s="18" t="s">
        <v>4</v>
      </c>
      <c r="O22" s="18" t="s">
        <v>5</v>
      </c>
    </row>
    <row r="23" spans="2:16" x14ac:dyDescent="0.2">
      <c r="B23" s="4" t="s">
        <v>432</v>
      </c>
      <c r="C23" s="42">
        <f>C4/K23</f>
        <v>1.1559696342305038E-2</v>
      </c>
      <c r="D23" s="42">
        <f t="shared" ref="D23:G26" si="0">D4/L23</f>
        <v>0</v>
      </c>
      <c r="E23" s="42">
        <f t="shared" si="0"/>
        <v>1.1848341232227489E-2</v>
      </c>
      <c r="F23" s="42">
        <f t="shared" si="0"/>
        <v>2.5890475443276321E-2</v>
      </c>
      <c r="G23" s="42">
        <f t="shared" si="0"/>
        <v>3.8010425716768028E-3</v>
      </c>
      <c r="H23" s="40"/>
      <c r="J23" s="4" t="s">
        <v>432</v>
      </c>
      <c r="K23">
        <v>289.8</v>
      </c>
      <c r="L23">
        <v>297.89999999999998</v>
      </c>
      <c r="M23">
        <v>253.2</v>
      </c>
      <c r="N23">
        <v>127.46</v>
      </c>
      <c r="O23">
        <v>184.16</v>
      </c>
      <c r="P23" s="40" t="s">
        <v>592</v>
      </c>
    </row>
    <row r="24" spans="2:16" x14ac:dyDescent="0.2">
      <c r="B24" s="4" t="s">
        <v>465</v>
      </c>
      <c r="C24" s="42">
        <f t="shared" ref="C24:C26" si="1">C5/K24</f>
        <v>8.4887967624123969E-3</v>
      </c>
      <c r="D24" s="42">
        <f t="shared" si="0"/>
        <v>6.7152046370255172E-3</v>
      </c>
      <c r="E24" s="42">
        <f t="shared" si="0"/>
        <v>6.4198716025679493E-3</v>
      </c>
      <c r="F24" s="42">
        <f t="shared" si="0"/>
        <v>1.096067053513862E-2</v>
      </c>
      <c r="G24" s="42">
        <f t="shared" si="0"/>
        <v>1.7444165455266288E-2</v>
      </c>
      <c r="J24" s="4" t="s">
        <v>465</v>
      </c>
      <c r="K24" s="3">
        <v>101.31</v>
      </c>
      <c r="L24" s="3">
        <v>141.47</v>
      </c>
      <c r="M24" s="3">
        <v>166.67</v>
      </c>
      <c r="N24" s="3">
        <v>108.57</v>
      </c>
      <c r="O24" s="3">
        <v>75.67</v>
      </c>
      <c r="P24" s="40" t="s">
        <v>592</v>
      </c>
    </row>
    <row r="25" spans="2:16" x14ac:dyDescent="0.2">
      <c r="B25" t="s">
        <v>334</v>
      </c>
      <c r="C25" s="42">
        <f t="shared" si="1"/>
        <v>0</v>
      </c>
      <c r="D25" s="42">
        <f t="shared" si="0"/>
        <v>0</v>
      </c>
      <c r="E25" s="42">
        <f t="shared" si="0"/>
        <v>0</v>
      </c>
      <c r="F25" s="42">
        <f t="shared" si="0"/>
        <v>0</v>
      </c>
      <c r="G25" s="42">
        <f t="shared" si="0"/>
        <v>0</v>
      </c>
      <c r="J25" t="s">
        <v>334</v>
      </c>
      <c r="K25" s="3">
        <v>17.170000000000002</v>
      </c>
      <c r="L25" s="3">
        <v>21.19</v>
      </c>
      <c r="M25" s="3">
        <v>21.19</v>
      </c>
      <c r="N25" s="3">
        <v>9.9600000000000009</v>
      </c>
      <c r="O25" s="3">
        <v>8.7899999999999991</v>
      </c>
      <c r="P25" s="40" t="s">
        <v>592</v>
      </c>
    </row>
    <row r="26" spans="2:16" x14ac:dyDescent="0.2">
      <c r="B26" s="4" t="s">
        <v>335</v>
      </c>
      <c r="C26" s="42">
        <f t="shared" si="1"/>
        <v>5.1207022677395757E-3</v>
      </c>
      <c r="D26" s="42">
        <f t="shared" si="0"/>
        <v>0</v>
      </c>
      <c r="E26" s="42">
        <f t="shared" si="0"/>
        <v>1.4883720930232559E-3</v>
      </c>
      <c r="F26" s="42">
        <f t="shared" si="0"/>
        <v>1.2698412698412697E-2</v>
      </c>
      <c r="G26" s="42">
        <f t="shared" si="0"/>
        <v>1.8201997780244172E-2</v>
      </c>
      <c r="J26" s="4" t="s">
        <v>335</v>
      </c>
      <c r="K26" s="3">
        <v>68.349999999999994</v>
      </c>
      <c r="L26" s="3">
        <v>92.28</v>
      </c>
      <c r="M26" s="3">
        <v>107.5</v>
      </c>
      <c r="N26" s="3">
        <v>56.7</v>
      </c>
      <c r="O26" s="3">
        <v>45.05</v>
      </c>
      <c r="P26" s="40" t="s">
        <v>592</v>
      </c>
    </row>
    <row r="27" spans="2:16" x14ac:dyDescent="0.2">
      <c r="K27" s="3"/>
      <c r="L27" s="3"/>
      <c r="M27" s="3"/>
      <c r="N27" s="3"/>
      <c r="O27" s="3"/>
    </row>
    <row r="32" spans="2:16" x14ac:dyDescent="0.2">
      <c r="B32" s="97" t="s">
        <v>593</v>
      </c>
      <c r="C32" s="97"/>
      <c r="D32" s="97"/>
      <c r="E32" s="97"/>
      <c r="F32" s="97"/>
      <c r="G32" s="97"/>
    </row>
    <row r="34" spans="2:8" x14ac:dyDescent="0.2">
      <c r="B34" s="85" t="s">
        <v>462</v>
      </c>
      <c r="C34" s="86" t="s">
        <v>1</v>
      </c>
      <c r="D34" s="86" t="s">
        <v>2</v>
      </c>
      <c r="E34" s="86" t="s">
        <v>3</v>
      </c>
      <c r="F34" s="86" t="s">
        <v>4</v>
      </c>
      <c r="G34" s="86" t="s">
        <v>5</v>
      </c>
      <c r="H34" s="86" t="s">
        <v>594</v>
      </c>
    </row>
    <row r="35" spans="2:8" x14ac:dyDescent="0.2">
      <c r="B35" s="4" t="s">
        <v>432</v>
      </c>
      <c r="C35" s="51">
        <f>-'Cash Flow Statement'!B50</f>
        <v>837000000</v>
      </c>
      <c r="D35" s="51">
        <f>-'Cash Flow Statement'!C50</f>
        <v>286000000</v>
      </c>
      <c r="E35" s="51">
        <f>-'Cash Flow Statement'!D50</f>
        <v>1032000000</v>
      </c>
      <c r="F35" s="51">
        <f>-'Cash Flow Statement'!E50</f>
        <v>2530000000</v>
      </c>
      <c r="G35" s="51">
        <f>-'Cash Flow Statement'!F50</f>
        <v>29000000</v>
      </c>
      <c r="H35">
        <f>SUM(Table5[[#This Row],[2019]:[2023]])</f>
        <v>4714000000</v>
      </c>
    </row>
    <row r="36" spans="2:8" x14ac:dyDescent="0.2">
      <c r="B36" s="4" t="s">
        <v>465</v>
      </c>
      <c r="C36" s="51">
        <f>-Competitors!B89</f>
        <v>4286000000</v>
      </c>
      <c r="D36" s="51">
        <f>-Competitors!C89</f>
        <v>3067000000</v>
      </c>
      <c r="E36" s="51">
        <f>-Competitors!D89</f>
        <v>608000000</v>
      </c>
      <c r="F36" s="51">
        <f>-Competitors!E89</f>
        <v>4014000000</v>
      </c>
      <c r="G36" s="51">
        <f>-Competitors!F89</f>
        <v>5480000000</v>
      </c>
      <c r="H36">
        <f>SUM(Table5[[#This Row],[2019]:[2023]])</f>
        <v>17455000000</v>
      </c>
    </row>
    <row r="37" spans="2:8" x14ac:dyDescent="0.2">
      <c r="B37" t="s">
        <v>334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>
        <f>SUM(Table5[[#This Row],[2019]:[2023]])</f>
        <v>0</v>
      </c>
    </row>
    <row r="38" spans="2:8" x14ac:dyDescent="0.2">
      <c r="B38" s="4" t="s">
        <v>335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>
        <f>SUM(Table5[[#This Row],[2019]:[2023]])</f>
        <v>0</v>
      </c>
    </row>
    <row r="41" spans="2:8" x14ac:dyDescent="0.2">
      <c r="B41" t="s">
        <v>595</v>
      </c>
      <c r="C41" s="42">
        <f>C23</f>
        <v>1.1559696342305038E-2</v>
      </c>
      <c r="D41" s="42">
        <f t="shared" ref="D41:G41" si="2">D23</f>
        <v>0</v>
      </c>
      <c r="E41" s="42">
        <f t="shared" si="2"/>
        <v>1.1848341232227489E-2</v>
      </c>
      <c r="F41" s="42">
        <f t="shared" si="2"/>
        <v>2.5890475443276321E-2</v>
      </c>
      <c r="G41" s="42">
        <f t="shared" si="2"/>
        <v>3.8010425716768028E-3</v>
      </c>
    </row>
    <row r="42" spans="2:8" x14ac:dyDescent="0.2">
      <c r="B42" t="s">
        <v>596</v>
      </c>
      <c r="C42">
        <f t="shared" ref="C42:G42" si="3">C14</f>
        <v>0.33500000000000002</v>
      </c>
      <c r="D42">
        <f t="shared" si="3"/>
        <v>0</v>
      </c>
      <c r="E42">
        <f t="shared" si="3"/>
        <v>0.27522935779816515</v>
      </c>
      <c r="F42">
        <f t="shared" si="3"/>
        <v>0.9880239520958084</v>
      </c>
      <c r="G42">
        <f t="shared" si="3"/>
        <v>-1.6666666666666665</v>
      </c>
    </row>
    <row r="62" spans="14:14" x14ac:dyDescent="0.2">
      <c r="N62">
        <f>O23*'Income Statement'!F69</f>
        <v>32880588639.360001</v>
      </c>
    </row>
    <row r="90" spans="10:10" x14ac:dyDescent="0.2">
      <c r="J90" s="50" t="e">
        <f>C4/ADDDF!J95</f>
        <v>#DIV/0!</v>
      </c>
    </row>
  </sheetData>
  <mergeCells count="5">
    <mergeCell ref="B1:G1"/>
    <mergeCell ref="B11:G11"/>
    <mergeCell ref="B20:G20"/>
    <mergeCell ref="J20:N20"/>
    <mergeCell ref="B32:G32"/>
  </mergeCells>
  <hyperlinks>
    <hyperlink ref="P24" r:id="rId1" xr:uid="{1FA454D0-CA16-4607-AD08-3E6DC2BB64E0}"/>
    <hyperlink ref="P23" r:id="rId2" xr:uid="{045E7794-D017-4A32-8E9F-75EE81E92BE7}"/>
    <hyperlink ref="P26" r:id="rId3" xr:uid="{0B179F83-D28F-463D-9F52-E0166E268F7C}"/>
    <hyperlink ref="P25" r:id="rId4" xr:uid="{BD127CAB-8FED-4420-BB80-C29174A93869}"/>
  </hyperlinks>
  <pageMargins left="0.7" right="0.7" top="0.75" bottom="0.75" header="0.3" footer="0.3"/>
  <drawing r:id="rId5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ADDDF</vt:lpstr>
      <vt:lpstr>Income Statement</vt:lpstr>
      <vt:lpstr>Cash Flow Statement</vt:lpstr>
      <vt:lpstr>Competitors</vt:lpstr>
      <vt:lpstr>Ratios</vt:lpstr>
      <vt:lpstr>Credit Rating</vt:lpstr>
      <vt:lpstr>WACC Approach Nike</vt:lpstr>
      <vt:lpstr>WACC Approach Under Armour</vt:lpstr>
      <vt:lpstr>⛔️WACC Approach Puma</vt:lpstr>
      <vt:lpstr>WACC Approach Adidas</vt:lpstr>
      <vt:lpstr>Written part</vt:lpstr>
      <vt:lpstr>Dividend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Anamul Tasfiq</cp:lastModifiedBy>
  <cp:revision/>
  <dcterms:created xsi:type="dcterms:W3CDTF">2025-01-05T20:06:21Z</dcterms:created>
  <dcterms:modified xsi:type="dcterms:W3CDTF">2025-01-10T16:11:32Z</dcterms:modified>
  <cp:category/>
  <cp:contentStatus/>
</cp:coreProperties>
</file>